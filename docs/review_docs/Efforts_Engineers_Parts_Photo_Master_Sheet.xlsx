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5.xml.rels" ContentType="application/vnd.openxmlformats-package.relationship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Summary" sheetId="2" state="visible" r:id="rId4"/>
    <sheet name="Master_Photo_Sheet" sheetId="3" state="visible" r:id="rId5"/>
    <sheet name="Series" sheetId="4" state="visible" r:id="rId6"/>
    <sheet name="Model_List" sheetId="5" state="visible" r:id="rId7"/>
    <sheet name="Part_Categories" sheetId="6" state="visible" r:id="rId8"/>
    <sheet name="Lists" sheetId="7" state="visible" r:id="rId9"/>
  </sheets>
  <definedNames>
    <definedName function="false" hidden="true" localSheetId="2" name="_xlnm._FilterDatabase" vbProcedure="false">Master_Photo_Sheet!$A$1:$Q$494</definedName>
    <definedName function="false" hidden="true" localSheetId="4" name="_xlnm._FilterDatabase" vbProcedure="false">Model_List!$A$1:$F$171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<sst xmlns="http://schemas.openxmlformats.org/spreadsheetml/2006/main" count="3223" uniqueCount="522">
  <si>
    <t xml:space="preserve">Efforts Engineers - Compressor Parts Photo Master Sheet</t>
  </si>
  <si>
    <t xml:space="preserve">Website photo catalogue by compressor brand, series, model and part. Brands: Grasso, Sabroe, Kirloskar, Vilter, Mycom, Carrier.</t>
  </si>
  <si>
    <t xml:space="preserve">SHEETS</t>
  </si>
  <si>
    <t xml:space="preserve">Summary</t>
  </si>
  <si>
    <t xml:space="preserve">Live progress count by brand. Updates itself when you change Photo Status.</t>
  </si>
  <si>
    <t xml:space="preserve">Master_Photo_Sheet</t>
  </si>
  <si>
    <t xml:space="preserve">One row per photo slot (series x part). This is the working sheet. Fill the amber-header columns.</t>
  </si>
  <si>
    <t xml:space="preserve">Series</t>
  </si>
  <si>
    <t xml:space="preserve">29 series with URL slugs and the models each series covers.</t>
  </si>
  <si>
    <t xml:space="preserve">Model_List</t>
  </si>
  <si>
    <t xml:space="preserve">Every model by brand and series, with a confidence tag showing how reliable each name is.</t>
  </si>
  <si>
    <t xml:space="preserve">Part_Categories</t>
  </si>
  <si>
    <t xml:space="preserve">17 part categories with codes, URL slugs and a photo-shooting tip for each.</t>
  </si>
  <si>
    <t xml:space="preserve">Lists</t>
  </si>
  <si>
    <t xml:space="preserve">Brand codes and the dropdown values. Edit here to change the dropdowns.</t>
  </si>
  <si>
    <t xml:space="preserve">HOW TO USE</t>
  </si>
  <si>
    <t xml:space="preserve">1</t>
  </si>
  <si>
    <t xml:space="preserve">Shoot each part yourself (white background, 1200 x 1200 px, front view plus one angled view). Save the file using the name in the File Name column.</t>
  </si>
  <si>
    <t xml:space="preserve">2</t>
  </si>
  <si>
    <t xml:space="preserve">In Master_Photo_Sheet fill the amber columns: Part Description, Part Number, Material / Size, Photo Status, Photo Source, Photo View, Stock Status, Remarks.</t>
  </si>
  <si>
    <t xml:space="preserve">3</t>
  </si>
  <si>
    <t xml:space="preserve">Set Photo Status as the photo moves: To Shoot, Shot, Edited, Uploaded. Use Not Applicable if the series has no such part.</t>
  </si>
  <si>
    <t xml:space="preserve">4</t>
  </si>
  <si>
    <t xml:space="preserve">If a series needs several photos of one part type (for example different liner sizes), copy the row and change the last two digits of the Photo ID to -02, -03.</t>
  </si>
  <si>
    <t xml:space="preserve">5</t>
  </si>
  <si>
    <t xml:space="preserve">File Name, Photo ID, Compatible Models, Alt Text and Page URL fill themselves in. Do not type over them.</t>
  </si>
  <si>
    <t xml:space="preserve">COLOUR KEY</t>
  </si>
  <si>
    <t xml:space="preserve">Blue text on yellow</t>
  </si>
  <si>
    <t xml:space="preserve">Cells for you to fill in or edit.</t>
  </si>
  <si>
    <t xml:space="preserve">Black text on white</t>
  </si>
  <si>
    <t xml:space="preserve">Formulas or fixed reference data. Do not overwrite.</t>
  </si>
  <si>
    <t xml:space="preserve">DATA SOURCES AND CAVEATS</t>
  </si>
  <si>
    <t xml:space="preserve">Model names</t>
  </si>
  <si>
    <t xml:space="preserve">Taken from OEM product pages (GEA Grasso, Vilter / Copeland), OEM manual titles, Kirloskar's KC / KCX brochure, and supplier and used-equipment listings (IndiaMART, indianyellowpages, used-machinery dealers).</t>
  </si>
  <si>
    <t xml:space="preserve">Confidence tag</t>
  </si>
  <si>
    <t xml:space="preserve">Model_List marks each model as Confirmed (OEM page / manual title), Seen in supplier / used listings, or Verify with team. Please check every Verify row against your own catalogue before publishing.</t>
  </si>
  <si>
    <t xml:space="preserve">Not pulled</t>
  </si>
  <si>
    <t xml:space="preserve">Amocon, casparts.co.kr, Ralco Europa and Alfa OM were not used to build this list. Add anything they list that you also supply.</t>
  </si>
  <si>
    <t xml:space="preserve">Part numbers</t>
  </si>
  <si>
    <t xml:space="preserve">Left blank on purpose. Use Efforts Engineers' own part numbers or OEM manual numbers; do not copy another seller's numbers.</t>
  </si>
  <si>
    <t xml:space="preserve">Photos</t>
  </si>
  <si>
    <t xml:space="preserve">Competitor photos are copyrighted and often watermarked. Use your own photographs. Supplier photos only with written permission.</t>
  </si>
  <si>
    <t xml:space="preserve">Screw compressors</t>
  </si>
  <si>
    <t xml:space="preserve">Screw ranges (Sabroe SAB, Vilter VSS / VSM, Mycom screw, Grasso screw) are not included. Say if you want them added.</t>
  </si>
  <si>
    <t xml:space="preserve">Series model text</t>
  </si>
  <si>
    <t xml:space="preserve">Models Covered on the Series sheet is typed text. If you add a model on Model_List, also update that text.</t>
  </si>
  <si>
    <t xml:space="preserve">EXAMPLE OF A COMPLETED ROW (format only)</t>
  </si>
  <si>
    <t xml:space="preserve">Brand</t>
  </si>
  <si>
    <t xml:space="preserve">Part Category</t>
  </si>
  <si>
    <t xml:space="preserve">Part Description</t>
  </si>
  <si>
    <t xml:space="preserve">Part Number</t>
  </si>
  <si>
    <t xml:space="preserve">Material / Size</t>
  </si>
  <si>
    <t xml:space="preserve">Photo Status</t>
  </si>
  <si>
    <t xml:space="preserve">Photo Source</t>
  </si>
  <si>
    <t xml:space="preserve">Photo View</t>
  </si>
  <si>
    <t xml:space="preserve">Stock Status</t>
  </si>
  <si>
    <t xml:space="preserve">Kirloskar</t>
  </si>
  <si>
    <t xml:space="preserve">Kirloskar KC Series</t>
  </si>
  <si>
    <t xml:space="preserve">Cylinder Liner</t>
  </si>
  <si>
    <t xml:space="preserve">Liner for KC 4 (example only)</t>
  </si>
  <si>
    <t xml:space="preserve">EE-KC4-CLN-001 (example format)</t>
  </si>
  <si>
    <t xml:space="preserve">Cast iron; bore size per drawing</t>
  </si>
  <si>
    <t xml:space="preserve">Uploaded</t>
  </si>
  <si>
    <t xml:space="preserve">Own photo</t>
  </si>
  <si>
    <t xml:space="preserve">Angled</t>
  </si>
  <si>
    <t xml:space="preserve">In Stock</t>
  </si>
  <si>
    <t xml:space="preserve">Photo Progress Summary</t>
  </si>
  <si>
    <t xml:space="preserve">Counts update automatically from Master_Photo_Sheet. Percent uploaded excludes slots marked Not Applicable.</t>
  </si>
  <si>
    <t xml:space="preserve">Models Listed</t>
  </si>
  <si>
    <t xml:space="preserve">Photo Slots</t>
  </si>
  <si>
    <t xml:space="preserve">To Shoot</t>
  </si>
  <si>
    <t xml:space="preserve">Shot</t>
  </si>
  <si>
    <t xml:space="preserve">Edited</t>
  </si>
  <si>
    <t xml:space="preserve">Not Applicable</t>
  </si>
  <si>
    <t xml:space="preserve">% Uploaded</t>
  </si>
  <si>
    <t xml:space="preserve">Grasso</t>
  </si>
  <si>
    <t xml:space="preserve">Sabroe</t>
  </si>
  <si>
    <t xml:space="preserve">Vilter</t>
  </si>
  <si>
    <t xml:space="preserve">Mycom</t>
  </si>
  <si>
    <t xml:space="preserve">Carrier</t>
  </si>
  <si>
    <t xml:space="preserve">Total</t>
  </si>
  <si>
    <t xml:space="preserve">Check: slots not matched to a status</t>
  </si>
  <si>
    <t xml:space="preserve">Should be 0. A number here means a Photo Status cell is blank or mistyped.</t>
  </si>
  <si>
    <t xml:space="preserve">Sr No</t>
  </si>
  <si>
    <t xml:space="preserve">Photo ID</t>
  </si>
  <si>
    <t xml:space="preserve">File Name</t>
  </si>
  <si>
    <t xml:space="preserve">Compatible Models</t>
  </si>
  <si>
    <t xml:space="preserve">Alt Text</t>
  </si>
  <si>
    <t xml:space="preserve">Page URL</t>
  </si>
  <si>
    <t xml:space="preserve">Remarks</t>
  </si>
  <si>
    <t xml:space="preserve">Grasso V Series</t>
  </si>
  <si>
    <t xml:space="preserve">Piston Assembly</t>
  </si>
  <si>
    <t xml:space="preserve">Piston Ring Set</t>
  </si>
  <si>
    <t xml:space="preserve">Connecting Rod</t>
  </si>
  <si>
    <t xml:space="preserve">Crankshaft</t>
  </si>
  <si>
    <t xml:space="preserve">Gudgeon Pin and Bush</t>
  </si>
  <si>
    <t xml:space="preserve">Main Bearing and Bush</t>
  </si>
  <si>
    <t xml:space="preserve">Suction Valve Plate</t>
  </si>
  <si>
    <t xml:space="preserve">Discharge Valve Assembly</t>
  </si>
  <si>
    <t xml:space="preserve">Valve Spring and Cage</t>
  </si>
  <si>
    <t xml:space="preserve">Cylinder Head Cover</t>
  </si>
  <si>
    <t xml:space="preserve">Gasket and Overhaul Kit</t>
  </si>
  <si>
    <t xml:space="preserve">Oil Pump Assembly</t>
  </si>
  <si>
    <t xml:space="preserve">Shaft Seal</t>
  </si>
  <si>
    <t xml:space="preserve">Oil Filter and Strainer</t>
  </si>
  <si>
    <t xml:space="preserve">Unloader and Capacity Control</t>
  </si>
  <si>
    <t xml:space="preserve">Safety Head and Relief Valve</t>
  </si>
  <si>
    <t xml:space="preserve">Grasso V HP and V XHP Series</t>
  </si>
  <si>
    <t xml:space="preserve">Grasso 5HP Series</t>
  </si>
  <si>
    <t xml:space="preserve">Grasso RC 11 Series</t>
  </si>
  <si>
    <t xml:space="preserve">Grasso RC 12 Series</t>
  </si>
  <si>
    <t xml:space="preserve">Sabroe CMO Series</t>
  </si>
  <si>
    <t xml:space="preserve">Sabroe SMC 65 Series</t>
  </si>
  <si>
    <t xml:space="preserve">Sabroe SMC 100 Series</t>
  </si>
  <si>
    <t xml:space="preserve">Sabroe SMC 180 Series</t>
  </si>
  <si>
    <t xml:space="preserve">Sabroe HPO and HPC Series</t>
  </si>
  <si>
    <t xml:space="preserve">Kirloskar KC Two-Stage Series</t>
  </si>
  <si>
    <t xml:space="preserve">Kirloskar KCX Series</t>
  </si>
  <si>
    <t xml:space="preserve">Kirloskar PC Series</t>
  </si>
  <si>
    <t xml:space="preserve">Vilter VMC 440 Series</t>
  </si>
  <si>
    <t xml:space="preserve">Vilter VMC 450 XL Series</t>
  </si>
  <si>
    <t xml:space="preserve">Vilter VMC 350ES Series</t>
  </si>
  <si>
    <t xml:space="preserve">Mycom A Series</t>
  </si>
  <si>
    <t xml:space="preserve">Mycom B Series</t>
  </si>
  <si>
    <t xml:space="preserve">Mycom WA Series</t>
  </si>
  <si>
    <t xml:space="preserve">Mycom WB Series</t>
  </si>
  <si>
    <t xml:space="preserve">Mycom WBHE Series</t>
  </si>
  <si>
    <t xml:space="preserve">Mycom L Series</t>
  </si>
  <si>
    <t xml:space="preserve">Mycom M Series</t>
  </si>
  <si>
    <t xml:space="preserve">Mycom J Series</t>
  </si>
  <si>
    <t xml:space="preserve">Carrier 5H Series</t>
  </si>
  <si>
    <t xml:space="preserve">Carrier 5F Series</t>
  </si>
  <si>
    <t xml:space="preserve">Carrier 06D Series</t>
  </si>
  <si>
    <t xml:space="preserve">Carrier 06E Series</t>
  </si>
  <si>
    <t xml:space="preserve">Series Code</t>
  </si>
  <si>
    <t xml:space="preserve">URL Slug</t>
  </si>
  <si>
    <t xml:space="preserve">Type / Drive</t>
  </si>
  <si>
    <t xml:space="preserve">Models Covered (summary text)</t>
  </si>
  <si>
    <t xml:space="preserve">V</t>
  </si>
  <si>
    <t xml:space="preserve">v-series</t>
  </si>
  <si>
    <t xml:space="preserve">Reciprocating, single and two-stage, belt or direct drive</t>
  </si>
  <si>
    <t xml:space="preserve">V 300, V 450, V 600, V 700, V 1100, V 1400</t>
  </si>
  <si>
    <t xml:space="preserve">VHP</t>
  </si>
  <si>
    <t xml:space="preserve">v-hp-xhp</t>
  </si>
  <si>
    <t xml:space="preserve">Reciprocating, high-pressure / heat-pump duty</t>
  </si>
  <si>
    <t xml:space="preserve">V 350 XHP, V 550 XHP, V 750 XHP, V 950 XHP, V HP (sizes to add)</t>
  </si>
  <si>
    <t xml:space="preserve">5HP</t>
  </si>
  <si>
    <t xml:space="preserve">5hp</t>
  </si>
  <si>
    <t xml:space="preserve">Reciprocating, single-stage, direct drive (CO2 / NH3 heat pump)</t>
  </si>
  <si>
    <t xml:space="preserve">35 HP, 45 HP, 55 HP, 65 HP</t>
  </si>
  <si>
    <t xml:space="preserve">RC11</t>
  </si>
  <si>
    <t xml:space="preserve">rc-11</t>
  </si>
  <si>
    <t xml:space="preserve">Reciprocating, older RC range</t>
  </si>
  <si>
    <t xml:space="preserve">RC 211, RC 311, RC 611, RC 6311</t>
  </si>
  <si>
    <t xml:space="preserve">RC12</t>
  </si>
  <si>
    <t xml:space="preserve">rc-12</t>
  </si>
  <si>
    <t xml:space="preserve">RC 212, RC 312, RC 412, RC 512, RC 612, RC 912, RC 1212, RC 2112, RC 3112, RC 4212, RC 5112, RC 6312, RC 7212, RC 8412, RC 9312, RC 10212</t>
  </si>
  <si>
    <t xml:space="preserve">CMO</t>
  </si>
  <si>
    <t xml:space="preserve">cmo</t>
  </si>
  <si>
    <t xml:space="preserve">Reciprocating, single and two-stage</t>
  </si>
  <si>
    <t xml:space="preserve">CMO 14, CMO 16, CMO 18, CMO 24, CMO 26, CMO 28, TCMO 28</t>
  </si>
  <si>
    <t xml:space="preserve">SMC65</t>
  </si>
  <si>
    <t xml:space="preserve">smc-65</t>
  </si>
  <si>
    <t xml:space="preserve">SMC 2-65, SMC 3-65, SMC 4-65, SMC 6-65, SMC 8-65, SMC 10-65, TSMC 8-65</t>
  </si>
  <si>
    <t xml:space="preserve">SMC100</t>
  </si>
  <si>
    <t xml:space="preserve">smc-100</t>
  </si>
  <si>
    <t xml:space="preserve">SMC 104S, SMC 104L, SMC 104E, SMC 106S, SMC 106L, SMC 106E, SMC 108S, SMC 108L, SMC 108E, SMC 112S, SMC 112L, SMC 112E, SMC 116S, SMC 116L, SMC 116E, SMC 4-100, SMC 6-100, SMC 8-100, TSMC 108S, TSMC 108L, TSMC 116S, TSMC 116L</t>
  </si>
  <si>
    <t xml:space="preserve">SMC180</t>
  </si>
  <si>
    <t xml:space="preserve">smc-180</t>
  </si>
  <si>
    <t xml:space="preserve">Reciprocating</t>
  </si>
  <si>
    <t xml:space="preserve">SMC 180</t>
  </si>
  <si>
    <t xml:space="preserve">HPO</t>
  </si>
  <si>
    <t xml:space="preserve">hpo-hpc</t>
  </si>
  <si>
    <t xml:space="preserve">Reciprocating, high-pressure (CO2 / NH3)</t>
  </si>
  <si>
    <t xml:space="preserve">HPO 24, HPO / HPC (other sizes to add)</t>
  </si>
  <si>
    <t xml:space="preserve">KC</t>
  </si>
  <si>
    <t xml:space="preserve">kc</t>
  </si>
  <si>
    <t xml:space="preserve">Reciprocating, single-stage</t>
  </si>
  <si>
    <t xml:space="preserve">KC 2, KC 3, KC 4, KC 6, KC 9, KC 12, KC 5</t>
  </si>
  <si>
    <t xml:space="preserve">KC2S</t>
  </si>
  <si>
    <t xml:space="preserve">kc-two-stage</t>
  </si>
  <si>
    <t xml:space="preserve">Reciprocating, two-stage (low + high stage cylinders)</t>
  </si>
  <si>
    <t xml:space="preserve">KC 21, KC 31, KC 42, KC 51, KC 63, KC 72, KC 84, KC 93, KC 102</t>
  </si>
  <si>
    <t xml:space="preserve">KCX</t>
  </si>
  <si>
    <t xml:space="preserve">kcx</t>
  </si>
  <si>
    <t xml:space="preserve">KCX 2, KCX 3, KCX 4, KCX 6</t>
  </si>
  <si>
    <t xml:space="preserve">PC</t>
  </si>
  <si>
    <t xml:space="preserve">pc</t>
  </si>
  <si>
    <t xml:space="preserve">PC 2, PC (other sizes to add)</t>
  </si>
  <si>
    <t xml:space="preserve">V440</t>
  </si>
  <si>
    <t xml:space="preserve">vmc-440</t>
  </si>
  <si>
    <t xml:space="preserve">Reciprocating, 2 to 16 cylinder</t>
  </si>
  <si>
    <t xml:space="preserve">442, 444, 446, 448, 4412, 4416</t>
  </si>
  <si>
    <t xml:space="preserve">V450XL</t>
  </si>
  <si>
    <t xml:space="preserve">vmc-450-xl</t>
  </si>
  <si>
    <t xml:space="preserve">452 XL, 454 XL, 456 XL, 458 XL, 458, 4512 XL, 4516 XL</t>
  </si>
  <si>
    <t xml:space="preserve">V350ES</t>
  </si>
  <si>
    <t xml:space="preserve">vmc-350es</t>
  </si>
  <si>
    <t xml:space="preserve">VMC 350ES</t>
  </si>
  <si>
    <t xml:space="preserve">A</t>
  </si>
  <si>
    <t xml:space="preserve">a-series</t>
  </si>
  <si>
    <t xml:space="preserve">Reciprocating, older A range</t>
  </si>
  <si>
    <t xml:space="preserve">N2A, N4A, N6A, N8A, N42A</t>
  </si>
  <si>
    <t xml:space="preserve">B</t>
  </si>
  <si>
    <t xml:space="preserve">b-series</t>
  </si>
  <si>
    <t xml:space="preserve">Reciprocating, older B range</t>
  </si>
  <si>
    <t xml:space="preserve">N4B, N6B, N12B, N8B</t>
  </si>
  <si>
    <t xml:space="preserve">WA</t>
  </si>
  <si>
    <t xml:space="preserve">wa-series</t>
  </si>
  <si>
    <t xml:space="preserve">Reciprocating, W range (also sold with N prefix, e.g. N4WA)</t>
  </si>
  <si>
    <t xml:space="preserve">2WA, 4WA, 6WA, 8WA, 42WA, 62WA</t>
  </si>
  <si>
    <t xml:space="preserve">WB</t>
  </si>
  <si>
    <t xml:space="preserve">wb-series</t>
  </si>
  <si>
    <t xml:space="preserve">Reciprocating, W range (also sold with N prefix, e.g. N6WB)</t>
  </si>
  <si>
    <t xml:space="preserve">4WB, 6WB, 8WB, 12WB, 42WB, 62WB</t>
  </si>
  <si>
    <t xml:space="preserve">WBHE</t>
  </si>
  <si>
    <t xml:space="preserve">wbhe-series</t>
  </si>
  <si>
    <t xml:space="preserve">Reciprocating, high-efficiency W range</t>
  </si>
  <si>
    <t xml:space="preserve">4WBHE, 6WBHE, 8WBHE, 8WBHEH, 6WBHEU, 8WBHEU, 8WBHEHU, 42WBHE, 62WBHE</t>
  </si>
  <si>
    <t xml:space="preserve">L</t>
  </si>
  <si>
    <t xml:space="preserve">l-series</t>
  </si>
  <si>
    <t xml:space="preserve">4L, 6L, 8L</t>
  </si>
  <si>
    <t xml:space="preserve">M</t>
  </si>
  <si>
    <t xml:space="preserve">m-series</t>
  </si>
  <si>
    <t xml:space="preserve">2M, 4M, 6M, 8M, 62M, 62M-FM</t>
  </si>
  <si>
    <t xml:space="preserve">J</t>
  </si>
  <si>
    <t xml:space="preserve">j-series</t>
  </si>
  <si>
    <t xml:space="preserve">6J2, J series (other sizes to add)</t>
  </si>
  <si>
    <t xml:space="preserve">5H</t>
  </si>
  <si>
    <t xml:space="preserve">5h</t>
  </si>
  <si>
    <t xml:space="preserve">Carlyle / Voltas reciprocating</t>
  </si>
  <si>
    <t xml:space="preserve">5H40, 5H46, 5H60, 5H66, 5H80, 5H86, 5H120, 5H126</t>
  </si>
  <si>
    <t xml:space="preserve">5F</t>
  </si>
  <si>
    <t xml:space="preserve">5f</t>
  </si>
  <si>
    <t xml:space="preserve">5F20, 5F30, 5F40, 5F60</t>
  </si>
  <si>
    <t xml:space="preserve">06D</t>
  </si>
  <si>
    <t xml:space="preserve">06d</t>
  </si>
  <si>
    <t xml:space="preserve">06D 48, 06D 68, 06D 75, 06D 018, 06D 024, 06D 037</t>
  </si>
  <si>
    <t xml:space="preserve">06E</t>
  </si>
  <si>
    <t xml:space="preserve">06e</t>
  </si>
  <si>
    <t xml:space="preserve">06E (sizes to add)</t>
  </si>
  <si>
    <t xml:space="preserve">Model</t>
  </si>
  <si>
    <t xml:space="preserve">Cylinders</t>
  </si>
  <si>
    <t xml:space="preserve">Data Confidence</t>
  </si>
  <si>
    <t xml:space="preserve">Source / Note</t>
  </si>
  <si>
    <t xml:space="preserve">V 300</t>
  </si>
  <si>
    <t xml:space="preserve">Confirmed (OEM page)</t>
  </si>
  <si>
    <t xml:space="preserve">GEA Grasso V product page</t>
  </si>
  <si>
    <t xml:space="preserve">V 450</t>
  </si>
  <si>
    <t xml:space="preserve">V 600</t>
  </si>
  <si>
    <t xml:space="preserve">V 700</t>
  </si>
  <si>
    <t xml:space="preserve">V 1100</t>
  </si>
  <si>
    <t xml:space="preserve">V 1400</t>
  </si>
  <si>
    <t xml:space="preserve">GEA single-stage table; cylinder count to add</t>
  </si>
  <si>
    <t xml:space="preserve">V 350 XHP</t>
  </si>
  <si>
    <t xml:space="preserve">GEA V XHP page</t>
  </si>
  <si>
    <t xml:space="preserve">V 550 XHP</t>
  </si>
  <si>
    <t xml:space="preserve">V 750 XHP</t>
  </si>
  <si>
    <t xml:space="preserve">V 950 XHP</t>
  </si>
  <si>
    <t xml:space="preserve">V HP (sizes to add)</t>
  </si>
  <si>
    <t xml:space="preserve">Verify with team</t>
  </si>
  <si>
    <t xml:space="preserve">GEA lists V HP / V HS lines; add exact sizes</t>
  </si>
  <si>
    <t xml:space="preserve">35 HP</t>
  </si>
  <si>
    <t xml:space="preserve">Four sizes of 3 to 6 cylinders per GEA; 35 HP size name inferred</t>
  </si>
  <si>
    <t xml:space="preserve">45 HP</t>
  </si>
  <si>
    <t xml:space="preserve">GEA 5HP page</t>
  </si>
  <si>
    <t xml:space="preserve">55 HP</t>
  </si>
  <si>
    <t xml:space="preserve">65 HP</t>
  </si>
  <si>
    <t xml:space="preserve">RC 211</t>
  </si>
  <si>
    <t xml:space="preserve">Seen in supplier / used listings</t>
  </si>
  <si>
    <t xml:space="preserve">Used-equipment listing</t>
  </si>
  <si>
    <t xml:space="preserve">RC 311</t>
  </si>
  <si>
    <t xml:space="preserve">RC 611</t>
  </si>
  <si>
    <t xml:space="preserve">RC 6311</t>
  </si>
  <si>
    <t xml:space="preserve">RC 212</t>
  </si>
  <si>
    <t xml:space="preserve">Supplier model list (verify against Grasso manual)</t>
  </si>
  <si>
    <t xml:space="preserve">RC 312</t>
  </si>
  <si>
    <t xml:space="preserve">RC 412</t>
  </si>
  <si>
    <t xml:space="preserve">RC 512</t>
  </si>
  <si>
    <t xml:space="preserve">RC 612</t>
  </si>
  <si>
    <t xml:space="preserve">RC 912</t>
  </si>
  <si>
    <t xml:space="preserve">RC 1212</t>
  </si>
  <si>
    <t xml:space="preserve">RC 2112</t>
  </si>
  <si>
    <t xml:space="preserve">RC 3112</t>
  </si>
  <si>
    <t xml:space="preserve">RC 4212</t>
  </si>
  <si>
    <t xml:space="preserve">RC 5112</t>
  </si>
  <si>
    <t xml:space="preserve">RC 6312</t>
  </si>
  <si>
    <t xml:space="preserve">RC 7212</t>
  </si>
  <si>
    <t xml:space="preserve">RC 8412</t>
  </si>
  <si>
    <t xml:space="preserve">RC 9312</t>
  </si>
  <si>
    <t xml:space="preserve">RC 10212</t>
  </si>
  <si>
    <t xml:space="preserve">CMO 14</t>
  </si>
  <si>
    <t xml:space="preserve">Supplier model list / manual title</t>
  </si>
  <si>
    <t xml:space="preserve">CMO 16</t>
  </si>
  <si>
    <t xml:space="preserve">CMO 18</t>
  </si>
  <si>
    <t xml:space="preserve">CMO 24</t>
  </si>
  <si>
    <t xml:space="preserve">CMO 26</t>
  </si>
  <si>
    <t xml:space="preserve">CMO 28</t>
  </si>
  <si>
    <t xml:space="preserve">TCMO 28</t>
  </si>
  <si>
    <t xml:space="preserve">SMC 2-65</t>
  </si>
  <si>
    <t xml:space="preserve">Supplier model list</t>
  </si>
  <si>
    <t xml:space="preserve">SMC 3-65</t>
  </si>
  <si>
    <t xml:space="preserve">SMC 4-65</t>
  </si>
  <si>
    <t xml:space="preserve">SMC 6-65</t>
  </si>
  <si>
    <t xml:space="preserve">SMC 8-65</t>
  </si>
  <si>
    <t xml:space="preserve">SMC 10-65</t>
  </si>
  <si>
    <t xml:space="preserve">TSMC 8-65</t>
  </si>
  <si>
    <t xml:space="preserve">Supplier model list; two-stage</t>
  </si>
  <si>
    <t xml:space="preserve">SMC 104S</t>
  </si>
  <si>
    <t xml:space="preserve">Supplier model list / used listings</t>
  </si>
  <si>
    <t xml:space="preserve">SMC 104L</t>
  </si>
  <si>
    <t xml:space="preserve">SMC 104E</t>
  </si>
  <si>
    <t xml:space="preserve">E variant inferred from S / L range</t>
  </si>
  <si>
    <t xml:space="preserve">SMC 106S</t>
  </si>
  <si>
    <t xml:space="preserve">SMC 106L</t>
  </si>
  <si>
    <t xml:space="preserve">SMC 106E</t>
  </si>
  <si>
    <t xml:space="preserve">SMC 108S</t>
  </si>
  <si>
    <t xml:space="preserve">SMC 108L</t>
  </si>
  <si>
    <t xml:space="preserve">SMC 108E</t>
  </si>
  <si>
    <t xml:space="preserve">SMC 112S</t>
  </si>
  <si>
    <t xml:space="preserve">SMC 112L</t>
  </si>
  <si>
    <t xml:space="preserve">SMC 112E</t>
  </si>
  <si>
    <t xml:space="preserve">SMC 116S</t>
  </si>
  <si>
    <t xml:space="preserve">SMC 116L</t>
  </si>
  <si>
    <t xml:space="preserve">SMC 116E</t>
  </si>
  <si>
    <t xml:space="preserve">SMC 4-100</t>
  </si>
  <si>
    <t xml:space="preserve">SMC 6-100</t>
  </si>
  <si>
    <t xml:space="preserve">SMC 8-100</t>
  </si>
  <si>
    <t xml:space="preserve">TSMC 108S</t>
  </si>
  <si>
    <t xml:space="preserve">Two-stage; supplier model list</t>
  </si>
  <si>
    <t xml:space="preserve">TSMC 108L</t>
  </si>
  <si>
    <t xml:space="preserve">TSMC 116S</t>
  </si>
  <si>
    <t xml:space="preserve">TSMC 116L</t>
  </si>
  <si>
    <t xml:space="preserve">Seen only in supplier part listings; confirm sizes</t>
  </si>
  <si>
    <t xml:space="preserve">HPO 24</t>
  </si>
  <si>
    <t xml:space="preserve">Used listing</t>
  </si>
  <si>
    <t xml:space="preserve">HPO / HPC (other sizes to add)</t>
  </si>
  <si>
    <t xml:space="preserve">Six sizes exist per distributor page; add exact names</t>
  </si>
  <si>
    <t xml:space="preserve">KC 2</t>
  </si>
  <si>
    <t xml:space="preserve">Kirloskar KC / KCX brochure and supplier lists</t>
  </si>
  <si>
    <t xml:space="preserve">KC 3</t>
  </si>
  <si>
    <t xml:space="preserve">KC 4</t>
  </si>
  <si>
    <t xml:space="preserve">KC 6</t>
  </si>
  <si>
    <t xml:space="preserve">KC 9</t>
  </si>
  <si>
    <t xml:space="preserve">KC 12</t>
  </si>
  <si>
    <t xml:space="preserve">KC 5</t>
  </si>
  <si>
    <t xml:space="preserve">In one supplier list only; not in the brochure</t>
  </si>
  <si>
    <t xml:space="preserve">KC 21</t>
  </si>
  <si>
    <t xml:space="preserve">Brochure range; cylinder count = LP + HP cylinders</t>
  </si>
  <si>
    <t xml:space="preserve">KC 31</t>
  </si>
  <si>
    <t xml:space="preserve">KC 42</t>
  </si>
  <si>
    <t xml:space="preserve">KC 51</t>
  </si>
  <si>
    <t xml:space="preserve">KC 63</t>
  </si>
  <si>
    <t xml:space="preserve">KC 72</t>
  </si>
  <si>
    <t xml:space="preserve">KC 84</t>
  </si>
  <si>
    <t xml:space="preserve">KC 93</t>
  </si>
  <si>
    <t xml:space="preserve">KC 102</t>
  </si>
  <si>
    <t xml:space="preserve">KCX 2</t>
  </si>
  <si>
    <t xml:space="preserve">Kirloskar KC / KCX brochure</t>
  </si>
  <si>
    <t xml:space="preserve">KCX 3</t>
  </si>
  <si>
    <t xml:space="preserve">KCX 4</t>
  </si>
  <si>
    <t xml:space="preserve">KCX 6</t>
  </si>
  <si>
    <t xml:space="preserve">PC 2</t>
  </si>
  <si>
    <t xml:space="preserve">Supplier listing</t>
  </si>
  <si>
    <t xml:space="preserve">PC (other sizes to add)</t>
  </si>
  <si>
    <t xml:space="preserve">Add exact PC model sizes you supply</t>
  </si>
  <si>
    <t xml:space="preserve">442</t>
  </si>
  <si>
    <t xml:space="preserve">Size inferred from 2 to 16 cylinder range</t>
  </si>
  <si>
    <t xml:space="preserve">444</t>
  </si>
  <si>
    <t xml:space="preserve">446</t>
  </si>
  <si>
    <t xml:space="preserve">Used listings</t>
  </si>
  <si>
    <t xml:space="preserve">448</t>
  </si>
  <si>
    <t xml:space="preserve">4412</t>
  </si>
  <si>
    <t xml:space="preserve">4416</t>
  </si>
  <si>
    <t xml:space="preserve">452 XL</t>
  </si>
  <si>
    <t xml:space="preserve">Size inferred</t>
  </si>
  <si>
    <t xml:space="preserve">454 XL</t>
  </si>
  <si>
    <t xml:space="preserve">456 XL</t>
  </si>
  <si>
    <t xml:space="preserve">458 XL</t>
  </si>
  <si>
    <t xml:space="preserve">458</t>
  </si>
  <si>
    <t xml:space="preserve">Used listing (non-XL VMC 450)</t>
  </si>
  <si>
    <t xml:space="preserve">4512 XL</t>
  </si>
  <si>
    <t xml:space="preserve">4516 XL</t>
  </si>
  <si>
    <t xml:space="preserve">Named on Vilter / Copeland product page; add sizes</t>
  </si>
  <si>
    <t xml:space="preserve">N2A</t>
  </si>
  <si>
    <t xml:space="preserve">Mycom tech note / used listings</t>
  </si>
  <si>
    <t xml:space="preserve">N4A</t>
  </si>
  <si>
    <t xml:space="preserve">N6A</t>
  </si>
  <si>
    <t xml:space="preserve">N8A</t>
  </si>
  <si>
    <t xml:space="preserve">Mycom tech note</t>
  </si>
  <si>
    <t xml:space="preserve">N42A</t>
  </si>
  <si>
    <t xml:space="preserve">Mycom tech note; two-stage</t>
  </si>
  <si>
    <t xml:space="preserve">N4B</t>
  </si>
  <si>
    <t xml:space="preserve">N6B</t>
  </si>
  <si>
    <t xml:space="preserve">N12B</t>
  </si>
  <si>
    <t xml:space="preserve">N8B</t>
  </si>
  <si>
    <t xml:space="preserve">2WA</t>
  </si>
  <si>
    <t xml:space="preserve">Confirmed (OEM manual title)</t>
  </si>
  <si>
    <t xml:space="preserve">Mycom W-series manual title</t>
  </si>
  <si>
    <t xml:space="preserve">4WA</t>
  </si>
  <si>
    <t xml:space="preserve">6WA</t>
  </si>
  <si>
    <t xml:space="preserve">8WA</t>
  </si>
  <si>
    <t xml:space="preserve">42WA</t>
  </si>
  <si>
    <t xml:space="preserve">Two-stage</t>
  </si>
  <si>
    <t xml:space="preserve">62WA</t>
  </si>
  <si>
    <t xml:space="preserve">4WB</t>
  </si>
  <si>
    <t xml:space="preserve">6WB</t>
  </si>
  <si>
    <t xml:space="preserve">8WB</t>
  </si>
  <si>
    <t xml:space="preserve">12WB</t>
  </si>
  <si>
    <t xml:space="preserve">42WB</t>
  </si>
  <si>
    <t xml:space="preserve">62WB</t>
  </si>
  <si>
    <t xml:space="preserve">4WBHE</t>
  </si>
  <si>
    <t xml:space="preserve">Mycom WBHE manual title</t>
  </si>
  <si>
    <t xml:space="preserve">6WBHE</t>
  </si>
  <si>
    <t xml:space="preserve">8WBHE</t>
  </si>
  <si>
    <t xml:space="preserve">8WBHEH</t>
  </si>
  <si>
    <t xml:space="preserve">6WBHEU</t>
  </si>
  <si>
    <t xml:space="preserve">8WBHEU</t>
  </si>
  <si>
    <t xml:space="preserve">8WBHEHU</t>
  </si>
  <si>
    <t xml:space="preserve">42WBHE</t>
  </si>
  <si>
    <t xml:space="preserve">62WBHE</t>
  </si>
  <si>
    <t xml:space="preserve">4L</t>
  </si>
  <si>
    <t xml:space="preserve">Mycom L-series manual title</t>
  </si>
  <si>
    <t xml:space="preserve">6L</t>
  </si>
  <si>
    <t xml:space="preserve">8L</t>
  </si>
  <si>
    <t xml:space="preserve">2M</t>
  </si>
  <si>
    <t xml:space="preserve">Mycom M-series manual title</t>
  </si>
  <si>
    <t xml:space="preserve">4M</t>
  </si>
  <si>
    <t xml:space="preserve">6M</t>
  </si>
  <si>
    <t xml:space="preserve">8M</t>
  </si>
  <si>
    <t xml:space="preserve">62M</t>
  </si>
  <si>
    <t xml:space="preserve">62M-FM</t>
  </si>
  <si>
    <t xml:space="preserve">6J2</t>
  </si>
  <si>
    <t xml:space="preserve">J series (other sizes to add)</t>
  </si>
  <si>
    <t xml:space="preserve">Add exact J models you supply</t>
  </si>
  <si>
    <t xml:space="preserve">5H40</t>
  </si>
  <si>
    <t xml:space="preserve">5H46</t>
  </si>
  <si>
    <t xml:space="preserve">5H60</t>
  </si>
  <si>
    <t xml:space="preserve">5H66</t>
  </si>
  <si>
    <t xml:space="preserve">5H80</t>
  </si>
  <si>
    <t xml:space="preserve">5H86</t>
  </si>
  <si>
    <t xml:space="preserve">5H120</t>
  </si>
  <si>
    <t xml:space="preserve">5H126</t>
  </si>
  <si>
    <t xml:space="preserve">5F20</t>
  </si>
  <si>
    <t xml:space="preserve">5F30</t>
  </si>
  <si>
    <t xml:space="preserve">5F40</t>
  </si>
  <si>
    <t xml:space="preserve">5F60</t>
  </si>
  <si>
    <t xml:space="preserve">06D 48</t>
  </si>
  <si>
    <t xml:space="preserve">06D 68</t>
  </si>
  <si>
    <t xml:space="preserve">06D 75</t>
  </si>
  <si>
    <t xml:space="preserve">06D 018</t>
  </si>
  <si>
    <t xml:space="preserve">06D 024</t>
  </si>
  <si>
    <t xml:space="preserve">06D 037</t>
  </si>
  <si>
    <t xml:space="preserve">Carlyle 06E seen in listings; add exact sizes</t>
  </si>
  <si>
    <t xml:space="preserve">Part Code</t>
  </si>
  <si>
    <t xml:space="preserve">Photo Tip</t>
  </si>
  <si>
    <t xml:space="preserve">CLN</t>
  </si>
  <si>
    <t xml:space="preserve">cylinder-liner</t>
  </si>
  <si>
    <t xml:space="preserve">Top view showing the bore plus a side view; place a ruler or caliper in frame</t>
  </si>
  <si>
    <t xml:space="preserve">PST</t>
  </si>
  <si>
    <t xml:space="preserve">piston-assembly</t>
  </si>
  <si>
    <t xml:space="preserve">Side view with rings fitted, plus one shot of the crown</t>
  </si>
  <si>
    <t xml:space="preserve">PRG</t>
  </si>
  <si>
    <t xml:space="preserve">piston-ring-set</t>
  </si>
  <si>
    <t xml:space="preserve">Full set in a row, compression rings and oil scraper rings labelled</t>
  </si>
  <si>
    <t xml:space="preserve">CRD</t>
  </si>
  <si>
    <t xml:space="preserve">connecting-rod</t>
  </si>
  <si>
    <t xml:space="preserve">Flat lay with big end and small end both visible</t>
  </si>
  <si>
    <t xml:space="preserve">CRK</t>
  </si>
  <si>
    <t xml:space="preserve">crankshaft</t>
  </si>
  <si>
    <t xml:space="preserve">Full length on foam supports, plus a close-up of the journals</t>
  </si>
  <si>
    <t xml:space="preserve">PIN</t>
  </si>
  <si>
    <t xml:space="preserve">gudgeon-pin-and-bush</t>
  </si>
  <si>
    <t xml:space="preserve">Pin and bush side by side</t>
  </si>
  <si>
    <t xml:space="preserve">BRG</t>
  </si>
  <si>
    <t xml:space="preserve">main-bearing-and-bush</t>
  </si>
  <si>
    <t xml:space="preserve">Show both halves of the bearing, bore side up</t>
  </si>
  <si>
    <t xml:space="preserve">SVP</t>
  </si>
  <si>
    <t xml:space="preserve">suction-valve-plate</t>
  </si>
  <si>
    <t xml:space="preserve">Plate face-up, then a second shot of the seating side</t>
  </si>
  <si>
    <t xml:space="preserve">DVA</t>
  </si>
  <si>
    <t xml:space="preserve">discharge-valve-assembly</t>
  </si>
  <si>
    <t xml:space="preserve">Assembled valve from the top, and one angled shot</t>
  </si>
  <si>
    <t xml:space="preserve">VSP</t>
  </si>
  <si>
    <t xml:space="preserve">valve-spring-and-cage</t>
  </si>
  <si>
    <t xml:space="preserve">Springs and cage laid out together</t>
  </si>
  <si>
    <t xml:space="preserve">HDC</t>
  </si>
  <si>
    <t xml:space="preserve">cylinder-head-cover</t>
  </si>
  <si>
    <t xml:space="preserve">Angled shot showing ports and mounting face</t>
  </si>
  <si>
    <t xml:space="preserve">GSK</t>
  </si>
  <si>
    <t xml:space="preserve">gasket-and-overhaul-kit</t>
  </si>
  <si>
    <t xml:space="preserve">Whole kit laid out flat or in a tray, contents visible</t>
  </si>
  <si>
    <t xml:space="preserve">OPA</t>
  </si>
  <si>
    <t xml:space="preserve">oil-pump-assembly</t>
  </si>
  <si>
    <t xml:space="preserve">Front view and one angled view</t>
  </si>
  <si>
    <t xml:space="preserve">SHS</t>
  </si>
  <si>
    <t xml:space="preserve">shaft-seal</t>
  </si>
  <si>
    <t xml:space="preserve">Seal faces and spring visible; show the packing box</t>
  </si>
  <si>
    <t xml:space="preserve">FLT</t>
  </si>
  <si>
    <t xml:space="preserve">oil-filter-and-strainer</t>
  </si>
  <si>
    <t xml:space="preserve">Element and housing together</t>
  </si>
  <si>
    <t xml:space="preserve">ULD</t>
  </si>
  <si>
    <t xml:space="preserve">unloader-and-capacity-control</t>
  </si>
  <si>
    <t xml:space="preserve">Unloader mechanism, one angled view</t>
  </si>
  <si>
    <t xml:space="preserve">SAF</t>
  </si>
  <si>
    <t xml:space="preserve">safety-head-and-relief-valve</t>
  </si>
  <si>
    <t xml:space="preserve">Front view plus one angled view</t>
  </si>
  <si>
    <t xml:space="preserve">Brand Code</t>
  </si>
  <si>
    <t xml:space="preserve">GRA</t>
  </si>
  <si>
    <t xml:space="preserve">Front</t>
  </si>
  <si>
    <t xml:space="preserve">SAB</t>
  </si>
  <si>
    <t xml:space="preserve">Supplier photo</t>
  </si>
  <si>
    <t xml:space="preserve">On Order</t>
  </si>
  <si>
    <t xml:space="preserve">KIR</t>
  </si>
  <si>
    <t xml:space="preserve">Customer photo</t>
  </si>
  <si>
    <t xml:space="preserve">Top</t>
  </si>
  <si>
    <t xml:space="preserve">Enquire</t>
  </si>
  <si>
    <t xml:space="preserve">VIL</t>
  </si>
  <si>
    <t xml:space="preserve">Set / Kit</t>
  </si>
  <si>
    <t xml:space="preserve">MYC</t>
  </si>
  <si>
    <t xml:space="preserve">With ruler</t>
  </si>
  <si>
    <t xml:space="preserve">CAR</t>
  </si>
</sst>
</file>

<file path=xl/styles.xml><?xml version="1.0" encoding="utf-8"?>
<styleSheet xmlns="http://schemas.openxmlformats.org/spreadsheetml/2006/main">
  <numFmts count="3">
    <numFmt numFmtId="164" formatCode="General"/>
    <numFmt numFmtId="165" formatCode="General"/>
    <numFmt numFmtId="166" formatCode="0.0%"/>
  </numFmts>
  <fonts count="11">
    <font>
      <sz val="11"/>
      <color theme="1"/>
      <name val="Calibri"/>
      <family val="2"/>
      <charset val="1"/>
    </font>
    <font>
      <sz val="10"/>
      <name val="Arial"/>
      <family val="0"/>
    </font>
    <font>
      <sz val="10"/>
      <name val="Arial"/>
      <family val="0"/>
    </font>
    <font>
      <sz val="10"/>
      <name val="Arial"/>
      <family val="0"/>
    </font>
    <font>
      <b val="true"/>
      <sz val="16"/>
      <color rgb="FF1F3864"/>
      <name val="Arial"/>
      <family val="0"/>
      <charset val="1"/>
    </font>
    <font>
      <i val="true"/>
      <sz val="10"/>
      <color rgb="FF595959"/>
      <name val="Arial"/>
      <family val="0"/>
      <charset val="1"/>
    </font>
    <font>
      <b val="true"/>
      <sz val="11"/>
      <color rgb="FF1F3864"/>
      <name val="Arial"/>
      <family val="0"/>
      <charset val="1"/>
    </font>
    <font>
      <b val="true"/>
      <sz val="10"/>
      <name val="Arial"/>
      <family val="0"/>
      <charset val="1"/>
    </font>
    <font>
      <sz val="10"/>
      <name val="Arial"/>
      <family val="0"/>
      <charset val="1"/>
    </font>
    <font>
      <b val="true"/>
      <sz val="10"/>
      <color rgb="FFFFFFFF"/>
      <name val="Arial"/>
      <family val="0"/>
      <charset val="1"/>
    </font>
    <font>
      <sz val="10"/>
      <color rgb="FF0000FF"/>
      <name val="Arial"/>
      <family val="0"/>
      <charset val="1"/>
    </font>
  </fonts>
  <fills count="6">
    <fill>
      <patternFill patternType="none"/>
    </fill>
    <fill>
      <patternFill patternType="gray125"/>
    </fill>
    <fill>
      <patternFill patternType="solid">
        <fgColor rgb="FFBF8F00"/>
        <bgColor rgb="FF808000"/>
      </patternFill>
    </fill>
    <fill>
      <patternFill patternType="solid">
        <fgColor rgb="FFFFF2CC"/>
        <bgColor rgb="FFFCE4D6"/>
      </patternFill>
    </fill>
    <fill>
      <patternFill patternType="solid">
        <fgColor rgb="FF1F3864"/>
        <bgColor rgb="FF333333"/>
      </patternFill>
    </fill>
    <fill>
      <patternFill patternType="solid">
        <fgColor rgb="FFD9E1F2"/>
        <bgColor rgb="FFD9D9D9"/>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false" indent="0" shrinkToFit="false"/>
      <protection locked="true" hidden="false"/>
    </xf>
    <xf numFmtId="164" fontId="7" fillId="0" borderId="0" xfId="0" applyFont="true" applyBorder="false" applyAlignment="true" applyProtection="false">
      <alignment horizontal="general" vertical="top" textRotation="0" wrapText="false" indent="0" shrinkToFit="false"/>
      <protection locked="true" hidden="false"/>
    </xf>
    <xf numFmtId="164" fontId="8" fillId="0" borderId="0" xfId="0" applyFont="true" applyBorder="true" applyAlignment="true" applyProtection="false">
      <alignment horizontal="general" vertical="top" textRotation="0" wrapText="true" indent="0" shrinkToFit="false"/>
      <protection locked="true" hidden="false"/>
    </xf>
    <xf numFmtId="164" fontId="9" fillId="2" borderId="1" xfId="0" applyFont="true" applyBorder="true" applyAlignment="true" applyProtection="false">
      <alignment horizontal="center" vertical="center" textRotation="0" wrapText="true" indent="0" shrinkToFit="false"/>
      <protection locked="true" hidden="false"/>
    </xf>
    <xf numFmtId="164" fontId="10" fillId="3" borderId="1" xfId="0" applyFont="true" applyBorder="true" applyAlignment="true" applyProtection="false">
      <alignment horizontal="general" vertical="top" textRotation="0" wrapText="true" indent="0" shrinkToFit="false"/>
      <protection locked="true" hidden="false"/>
    </xf>
    <xf numFmtId="164" fontId="9" fillId="4"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5" fontId="8" fillId="0" borderId="1" xfId="0" applyFont="true" applyBorder="true" applyAlignment="true" applyProtection="false">
      <alignment horizontal="center" vertical="bottom" textRotation="0" wrapText="false" indent="0" shrinkToFit="false"/>
      <protection locked="true" hidden="false"/>
    </xf>
    <xf numFmtId="166" fontId="8" fillId="0" borderId="1" xfId="0" applyFont="true" applyBorder="true" applyAlignment="true" applyProtection="false">
      <alignment horizontal="center" vertical="bottom" textRotation="0" wrapText="false" indent="0" shrinkToFit="false"/>
      <protection locked="true" hidden="false"/>
    </xf>
    <xf numFmtId="164" fontId="7" fillId="5" borderId="1" xfId="0" applyFont="true" applyBorder="true" applyAlignment="false" applyProtection="false">
      <alignment horizontal="general" vertical="bottom" textRotation="0" wrapText="false" indent="0" shrinkToFit="false"/>
      <protection locked="true" hidden="false"/>
    </xf>
    <xf numFmtId="165" fontId="7" fillId="5" borderId="1" xfId="0" applyFont="true" applyBorder="true" applyAlignment="true" applyProtection="false">
      <alignment horizontal="center" vertical="bottom" textRotation="0" wrapText="false" indent="0" shrinkToFit="false"/>
      <protection locked="true" hidden="false"/>
    </xf>
    <xf numFmtId="166" fontId="7" fillId="5" borderId="1" xfId="0" applyFont="true" applyBorder="true" applyAlignment="true" applyProtection="false">
      <alignment horizontal="center"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5" fontId="8" fillId="0" borderId="1" xfId="0" applyFont="true" applyBorder="true" applyAlignment="true" applyProtection="false">
      <alignment horizontal="general" vertical="top" textRotation="0" wrapText="false" indent="0" shrinkToFit="false"/>
      <protection locked="true" hidden="false"/>
    </xf>
    <xf numFmtId="164" fontId="8" fillId="0" borderId="1" xfId="0" applyFont="true" applyBorder="true" applyAlignment="true" applyProtection="false">
      <alignment horizontal="general" vertical="top" textRotation="0" wrapText="fals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10" fillId="3" borderId="1" xfId="0" applyFont="true" applyBorder="true" applyAlignment="true" applyProtection="false">
      <alignment horizontal="general" vertical="top" textRotation="0" wrapText="false" indent="0" shrinkToFit="false"/>
      <protection locked="true" hidden="false"/>
    </xf>
    <xf numFmtId="165" fontId="8" fillId="0" borderId="1" xfId="0" applyFont="true" applyBorder="true" applyAlignment="true" applyProtection="false">
      <alignment horizontal="center" vertical="top" textRotation="0" wrapText="false" indent="0" shrinkToFit="false"/>
      <protection locked="true" hidden="false"/>
    </xf>
    <xf numFmtId="166" fontId="8" fillId="0" borderId="1" xfId="0" applyFont="true" applyBorder="true" applyAlignment="true" applyProtection="false">
      <alignment horizontal="center" vertical="top" textRotation="0" wrapText="false" indent="0" shrinkToFit="false"/>
      <protection locked="true" hidden="false"/>
    </xf>
    <xf numFmtId="164" fontId="9" fillId="4" borderId="0" xfId="0" applyFont="true" applyBorder="false" applyAlignment="true" applyProtection="fals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3">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BF8F00"/>
          <bgColor rgb="FF000000"/>
        </patternFill>
      </fill>
    </dxf>
    <dxf>
      <fill>
        <patternFill patternType="solid">
          <fgColor rgb="FFFFF2CC"/>
          <bgColor rgb="FF000000"/>
        </patternFill>
      </fill>
    </dxf>
    <dxf>
      <fill>
        <patternFill patternType="solid">
          <fgColor rgb="FF0000FF"/>
          <bgColor rgb="FF000000"/>
        </patternFill>
      </fill>
    </dxf>
    <dxf>
      <fill>
        <patternFill patternType="solid">
          <fgColor rgb="FFFCE4D6"/>
          <bgColor rgb="FF000000"/>
        </patternFill>
      </fill>
    </dxf>
    <dxf>
      <fill>
        <patternFill>
          <bgColor rgb="FFFCE4D6"/>
        </patternFill>
      </fill>
    </dxf>
    <dxf>
      <fill>
        <patternFill>
          <bgColor rgb="FFFFE699"/>
        </patternFill>
      </fill>
    </dxf>
    <dxf>
      <fill>
        <patternFill>
          <bgColor rgb="FFBDD7EE"/>
        </patternFill>
      </fill>
    </dxf>
    <dxf>
      <fill>
        <patternFill>
          <bgColor rgb="FFC6EFCE"/>
        </patternFill>
      </fill>
    </dxf>
    <dxf>
      <fill>
        <patternFill>
          <bgColor rgb="FFD9D9D9"/>
        </patternFill>
      </fill>
    </dxf>
    <dxf>
      <fill>
        <patternFill patternType="solid">
          <fgColor rgb="FFC6EFCE"/>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D9E1F2"/>
      <rgbColor rgb="FF660066"/>
      <rgbColor rgb="FFFF8080"/>
      <rgbColor rgb="FF0066CC"/>
      <rgbColor rgb="FFBDD7EE"/>
      <rgbColor rgb="FF000080"/>
      <rgbColor rgb="FFFF00FF"/>
      <rgbColor rgb="FFFFFF00"/>
      <rgbColor rgb="FF00FFFF"/>
      <rgbColor rgb="FF800080"/>
      <rgbColor rgb="FF800000"/>
      <rgbColor rgb="FF008080"/>
      <rgbColor rgb="FF0000FF"/>
      <rgbColor rgb="FF00CCFF"/>
      <rgbColor rgb="FFD9D9D9"/>
      <rgbColor rgb="FFC6EFCE"/>
      <rgbColor rgb="FFFFE699"/>
      <rgbColor rgb="FF99CCFF"/>
      <rgbColor rgb="FFFF99CC"/>
      <rgbColor rgb="FFCC99FF"/>
      <rgbColor rgb="FFFCE4D6"/>
      <rgbColor rgb="FF3366FF"/>
      <rgbColor rgb="FF33CCCC"/>
      <rgbColor rgb="FF99CC00"/>
      <rgbColor rgb="FFFFCC00"/>
      <rgbColor rgb="FFBF8F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_rels/sheet5.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34"/>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34"/>
    <col collapsed="false" customWidth="true" hidden="false" outlineLevel="0" max="10" min="3" style="0" width="20"/>
  </cols>
  <sheetData>
    <row r="1" customFormat="false" ht="19.7"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row>
    <row r="5" customFormat="false" ht="15" hidden="false" customHeight="true" outlineLevel="0" collapsed="false">
      <c r="A5" s="4" t="s">
        <v>3</v>
      </c>
      <c r="B5" s="5" t="s">
        <v>4</v>
      </c>
      <c r="C5" s="5"/>
      <c r="D5" s="5"/>
      <c r="E5" s="5"/>
      <c r="F5" s="5"/>
      <c r="G5" s="5"/>
      <c r="H5" s="5"/>
      <c r="I5" s="5"/>
      <c r="J5" s="5"/>
    </row>
    <row r="6" customFormat="false" ht="15" hidden="false" customHeight="true" outlineLevel="0" collapsed="false">
      <c r="A6" s="4" t="s">
        <v>5</v>
      </c>
      <c r="B6" s="5" t="s">
        <v>6</v>
      </c>
      <c r="C6" s="5"/>
      <c r="D6" s="5"/>
      <c r="E6" s="5"/>
      <c r="F6" s="5"/>
      <c r="G6" s="5"/>
      <c r="H6" s="5"/>
      <c r="I6" s="5"/>
      <c r="J6" s="5"/>
    </row>
    <row r="7" customFormat="false" ht="15" hidden="false" customHeight="true" outlineLevel="0" collapsed="false">
      <c r="A7" s="4" t="s">
        <v>7</v>
      </c>
      <c r="B7" s="5" t="s">
        <v>8</v>
      </c>
      <c r="C7" s="5"/>
      <c r="D7" s="5"/>
      <c r="E7" s="5"/>
      <c r="F7" s="5"/>
      <c r="G7" s="5"/>
      <c r="H7" s="5"/>
      <c r="I7" s="5"/>
      <c r="J7" s="5"/>
    </row>
    <row r="8" customFormat="false" ht="15" hidden="false" customHeight="true" outlineLevel="0" collapsed="false">
      <c r="A8" s="4" t="s">
        <v>9</v>
      </c>
      <c r="B8" s="5" t="s">
        <v>10</v>
      </c>
      <c r="C8" s="5"/>
      <c r="D8" s="5"/>
      <c r="E8" s="5"/>
      <c r="F8" s="5"/>
      <c r="G8" s="5"/>
      <c r="H8" s="5"/>
      <c r="I8" s="5"/>
      <c r="J8" s="5"/>
    </row>
    <row r="9" customFormat="false" ht="15" hidden="false" customHeight="true" outlineLevel="0" collapsed="false">
      <c r="A9" s="4" t="s">
        <v>11</v>
      </c>
      <c r="B9" s="5" t="s">
        <v>12</v>
      </c>
      <c r="C9" s="5"/>
      <c r="D9" s="5"/>
      <c r="E9" s="5"/>
      <c r="F9" s="5"/>
      <c r="G9" s="5"/>
      <c r="H9" s="5"/>
      <c r="I9" s="5"/>
      <c r="J9" s="5"/>
    </row>
    <row r="10" customFormat="false" ht="15" hidden="false" customHeight="true" outlineLevel="0" collapsed="false">
      <c r="A10" s="4" t="s">
        <v>13</v>
      </c>
      <c r="B10" s="5" t="s">
        <v>14</v>
      </c>
      <c r="C10" s="5"/>
      <c r="D10" s="5"/>
      <c r="E10" s="5"/>
      <c r="F10" s="5"/>
      <c r="G10" s="5"/>
      <c r="H10" s="5"/>
      <c r="I10" s="5"/>
      <c r="J10" s="5"/>
    </row>
    <row r="11" customFormat="false" ht="15" hidden="false" customHeight="false" outlineLevel="0" collapsed="false">
      <c r="A11" s="4"/>
    </row>
    <row r="12" customFormat="false" ht="15" hidden="false" customHeight="false" outlineLevel="0" collapsed="false">
      <c r="A12" s="3" t="s">
        <v>15</v>
      </c>
    </row>
    <row r="13" customFormat="false" ht="30" hidden="false" customHeight="true" outlineLevel="0" collapsed="false">
      <c r="A13" s="4" t="s">
        <v>16</v>
      </c>
      <c r="B13" s="5" t="s">
        <v>17</v>
      </c>
      <c r="C13" s="5"/>
      <c r="D13" s="5"/>
      <c r="E13" s="5"/>
      <c r="F13" s="5"/>
      <c r="G13" s="5"/>
      <c r="H13" s="5"/>
      <c r="I13" s="5"/>
      <c r="J13" s="5"/>
    </row>
    <row r="14" customFormat="false" ht="30" hidden="false" customHeight="true" outlineLevel="0" collapsed="false">
      <c r="A14" s="4" t="s">
        <v>18</v>
      </c>
      <c r="B14" s="5" t="s">
        <v>19</v>
      </c>
      <c r="C14" s="5"/>
      <c r="D14" s="5"/>
      <c r="E14" s="5"/>
      <c r="F14" s="5"/>
      <c r="G14" s="5"/>
      <c r="H14" s="5"/>
      <c r="I14" s="5"/>
      <c r="J14" s="5"/>
    </row>
    <row r="15" customFormat="false" ht="30" hidden="false" customHeight="true" outlineLevel="0" collapsed="false">
      <c r="A15" s="4" t="s">
        <v>20</v>
      </c>
      <c r="B15" s="5" t="s">
        <v>21</v>
      </c>
      <c r="C15" s="5"/>
      <c r="D15" s="5"/>
      <c r="E15" s="5"/>
      <c r="F15" s="5"/>
      <c r="G15" s="5"/>
      <c r="H15" s="5"/>
      <c r="I15" s="5"/>
      <c r="J15" s="5"/>
    </row>
    <row r="16" customFormat="false" ht="30" hidden="false" customHeight="true" outlineLevel="0" collapsed="false">
      <c r="A16" s="4" t="s">
        <v>22</v>
      </c>
      <c r="B16" s="5" t="s">
        <v>23</v>
      </c>
      <c r="C16" s="5"/>
      <c r="D16" s="5"/>
      <c r="E16" s="5"/>
      <c r="F16" s="5"/>
      <c r="G16" s="5"/>
      <c r="H16" s="5"/>
      <c r="I16" s="5"/>
      <c r="J16" s="5"/>
    </row>
    <row r="17" customFormat="false" ht="15" hidden="false" customHeight="true" outlineLevel="0" collapsed="false">
      <c r="A17" s="4" t="s">
        <v>24</v>
      </c>
      <c r="B17" s="5" t="s">
        <v>25</v>
      </c>
      <c r="C17" s="5"/>
      <c r="D17" s="5"/>
      <c r="E17" s="5"/>
      <c r="F17" s="5"/>
      <c r="G17" s="5"/>
      <c r="H17" s="5"/>
      <c r="I17" s="5"/>
      <c r="J17" s="5"/>
    </row>
    <row r="18" customFormat="false" ht="15" hidden="false" customHeight="false" outlineLevel="0" collapsed="false">
      <c r="A18" s="4"/>
    </row>
    <row r="19" customFormat="false" ht="15" hidden="false" customHeight="false" outlineLevel="0" collapsed="false">
      <c r="A19" s="3" t="s">
        <v>26</v>
      </c>
    </row>
    <row r="20" customFormat="false" ht="15" hidden="false" customHeight="true" outlineLevel="0" collapsed="false">
      <c r="A20" s="4" t="s">
        <v>27</v>
      </c>
      <c r="B20" s="5" t="s">
        <v>28</v>
      </c>
      <c r="C20" s="5"/>
      <c r="D20" s="5"/>
      <c r="E20" s="5"/>
      <c r="F20" s="5"/>
      <c r="G20" s="5"/>
      <c r="H20" s="5"/>
      <c r="I20" s="5"/>
      <c r="J20" s="5"/>
    </row>
    <row r="21" customFormat="false" ht="15" hidden="false" customHeight="true" outlineLevel="0" collapsed="false">
      <c r="A21" s="4" t="s">
        <v>29</v>
      </c>
      <c r="B21" s="5" t="s">
        <v>30</v>
      </c>
      <c r="C21" s="5"/>
      <c r="D21" s="5"/>
      <c r="E21" s="5"/>
      <c r="F21" s="5"/>
      <c r="G21" s="5"/>
      <c r="H21" s="5"/>
      <c r="I21" s="5"/>
      <c r="J21" s="5"/>
    </row>
    <row r="22" customFormat="false" ht="15" hidden="false" customHeight="false" outlineLevel="0" collapsed="false">
      <c r="A22" s="4"/>
    </row>
    <row r="23" customFormat="false" ht="15" hidden="false" customHeight="false" outlineLevel="0" collapsed="false">
      <c r="A23" s="3" t="s">
        <v>31</v>
      </c>
    </row>
    <row r="24" customFormat="false" ht="30" hidden="false" customHeight="true" outlineLevel="0" collapsed="false">
      <c r="A24" s="4" t="s">
        <v>32</v>
      </c>
      <c r="B24" s="5" t="s">
        <v>33</v>
      </c>
      <c r="C24" s="5"/>
      <c r="D24" s="5"/>
      <c r="E24" s="5"/>
      <c r="F24" s="5"/>
      <c r="G24" s="5"/>
      <c r="H24" s="5"/>
      <c r="I24" s="5"/>
      <c r="J24" s="5"/>
    </row>
    <row r="25" customFormat="false" ht="30" hidden="false" customHeight="true" outlineLevel="0" collapsed="false">
      <c r="A25" s="4" t="s">
        <v>34</v>
      </c>
      <c r="B25" s="5" t="s">
        <v>35</v>
      </c>
      <c r="C25" s="5"/>
      <c r="D25" s="5"/>
      <c r="E25" s="5"/>
      <c r="F25" s="5"/>
      <c r="G25" s="5"/>
      <c r="H25" s="5"/>
      <c r="I25" s="5"/>
      <c r="J25" s="5"/>
    </row>
    <row r="26" customFormat="false" ht="30" hidden="false" customHeight="true" outlineLevel="0" collapsed="false">
      <c r="A26" s="4" t="s">
        <v>36</v>
      </c>
      <c r="B26" s="5" t="s">
        <v>37</v>
      </c>
      <c r="C26" s="5"/>
      <c r="D26" s="5"/>
      <c r="E26" s="5"/>
      <c r="F26" s="5"/>
      <c r="G26" s="5"/>
      <c r="H26" s="5"/>
      <c r="I26" s="5"/>
      <c r="J26" s="5"/>
    </row>
    <row r="27" customFormat="false" ht="30" hidden="false" customHeight="true" outlineLevel="0" collapsed="false">
      <c r="A27" s="4" t="s">
        <v>38</v>
      </c>
      <c r="B27" s="5" t="s">
        <v>39</v>
      </c>
      <c r="C27" s="5"/>
      <c r="D27" s="5"/>
      <c r="E27" s="5"/>
      <c r="F27" s="5"/>
      <c r="G27" s="5"/>
      <c r="H27" s="5"/>
      <c r="I27" s="5"/>
      <c r="J27" s="5"/>
    </row>
    <row r="28" customFormat="false" ht="30" hidden="false" customHeight="true" outlineLevel="0" collapsed="false">
      <c r="A28" s="4" t="s">
        <v>40</v>
      </c>
      <c r="B28" s="5" t="s">
        <v>41</v>
      </c>
      <c r="C28" s="5"/>
      <c r="D28" s="5"/>
      <c r="E28" s="5"/>
      <c r="F28" s="5"/>
      <c r="G28" s="5"/>
      <c r="H28" s="5"/>
      <c r="I28" s="5"/>
      <c r="J28" s="5"/>
    </row>
    <row r="29" customFormat="false" ht="15" hidden="false" customHeight="true" outlineLevel="0" collapsed="false">
      <c r="A29" s="4" t="s">
        <v>42</v>
      </c>
      <c r="B29" s="5" t="s">
        <v>43</v>
      </c>
      <c r="C29" s="5"/>
      <c r="D29" s="5"/>
      <c r="E29" s="5"/>
      <c r="F29" s="5"/>
      <c r="G29" s="5"/>
      <c r="H29" s="5"/>
      <c r="I29" s="5"/>
      <c r="J29" s="5"/>
    </row>
    <row r="30" customFormat="false" ht="15" hidden="false" customHeight="true" outlineLevel="0" collapsed="false">
      <c r="A30" s="4" t="s">
        <v>44</v>
      </c>
      <c r="B30" s="5" t="s">
        <v>45</v>
      </c>
      <c r="C30" s="5"/>
      <c r="D30" s="5"/>
      <c r="E30" s="5"/>
      <c r="F30" s="5"/>
      <c r="G30" s="5"/>
      <c r="H30" s="5"/>
      <c r="I30" s="5"/>
      <c r="J30" s="5"/>
    </row>
    <row r="31" customFormat="false" ht="15" hidden="false" customHeight="false" outlineLevel="0" collapsed="false">
      <c r="A31" s="4"/>
    </row>
    <row r="32" customFormat="false" ht="15" hidden="false" customHeight="false" outlineLevel="0" collapsed="false">
      <c r="A32" s="3" t="s">
        <v>46</v>
      </c>
    </row>
    <row r="33" customFormat="false" ht="27.75" hidden="false" customHeight="true" outlineLevel="0" collapsed="false">
      <c r="A33" s="6" t="s">
        <v>47</v>
      </c>
      <c r="B33" s="6" t="s">
        <v>7</v>
      </c>
      <c r="C33" s="6" t="s">
        <v>48</v>
      </c>
      <c r="D33" s="6" t="s">
        <v>49</v>
      </c>
      <c r="E33" s="6" t="s">
        <v>50</v>
      </c>
      <c r="F33" s="6" t="s">
        <v>51</v>
      </c>
      <c r="G33" s="6" t="s">
        <v>52</v>
      </c>
      <c r="H33" s="6" t="s">
        <v>53</v>
      </c>
      <c r="I33" s="6" t="s">
        <v>54</v>
      </c>
      <c r="J33" s="6" t="s">
        <v>55</v>
      </c>
    </row>
    <row r="34" customFormat="false" ht="42" hidden="false" customHeight="true" outlineLevel="0" collapsed="false">
      <c r="A34" s="7" t="s">
        <v>56</v>
      </c>
      <c r="B34" s="7" t="s">
        <v>57</v>
      </c>
      <c r="C34" s="7" t="s">
        <v>58</v>
      </c>
      <c r="D34" s="7" t="s">
        <v>59</v>
      </c>
      <c r="E34" s="7" t="s">
        <v>60</v>
      </c>
      <c r="F34" s="7" t="s">
        <v>61</v>
      </c>
      <c r="G34" s="7" t="s">
        <v>62</v>
      </c>
      <c r="H34" s="7" t="s">
        <v>63</v>
      </c>
      <c r="I34" s="7" t="s">
        <v>64</v>
      </c>
      <c r="J34" s="7" t="s">
        <v>65</v>
      </c>
    </row>
  </sheetData>
  <mergeCells count="20">
    <mergeCell ref="B5:J5"/>
    <mergeCell ref="B6:J6"/>
    <mergeCell ref="B7:J7"/>
    <mergeCell ref="B8:J8"/>
    <mergeCell ref="B9:J9"/>
    <mergeCell ref="B10:J10"/>
    <mergeCell ref="B13:J13"/>
    <mergeCell ref="B14:J14"/>
    <mergeCell ref="B15:J15"/>
    <mergeCell ref="B16:J16"/>
    <mergeCell ref="B17:J17"/>
    <mergeCell ref="B20:J20"/>
    <mergeCell ref="B21:J21"/>
    <mergeCell ref="B24:J24"/>
    <mergeCell ref="B25:J25"/>
    <mergeCell ref="B26:J26"/>
    <mergeCell ref="B27:J27"/>
    <mergeCell ref="B28:J28"/>
    <mergeCell ref="B29:J29"/>
    <mergeCell ref="B30:J3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10"/>
    <col collapsed="false" customWidth="true" hidden="false" outlineLevel="0" max="3" min="3" style="0" width="14"/>
    <col collapsed="false" customWidth="true" hidden="false" outlineLevel="0" max="4" min="4" style="0" width="13"/>
    <col collapsed="false" customWidth="true" hidden="false" outlineLevel="0" max="5" min="5" style="0" width="11"/>
    <col collapsed="false" customWidth="true" hidden="false" outlineLevel="0" max="7" min="6" style="0" width="9"/>
    <col collapsed="false" customWidth="true" hidden="false" outlineLevel="0" max="8" min="8" style="0" width="11"/>
    <col collapsed="false" customWidth="true" hidden="false" outlineLevel="0" max="9" min="9" style="0" width="15"/>
    <col collapsed="false" customWidth="true" hidden="false" outlineLevel="0" max="10" min="10" style="0" width="12"/>
  </cols>
  <sheetData>
    <row r="1" customFormat="false" ht="19.7" hidden="false" customHeight="false" outlineLevel="0" collapsed="false">
      <c r="A1" s="1" t="s">
        <v>66</v>
      </c>
    </row>
    <row r="2" customFormat="false" ht="15" hidden="false" customHeight="false" outlineLevel="0" collapsed="false">
      <c r="A2" s="2" t="s">
        <v>67</v>
      </c>
    </row>
    <row r="4" customFormat="false" ht="30" hidden="false" customHeight="true" outlineLevel="0" collapsed="false">
      <c r="A4" s="8" t="s">
        <v>47</v>
      </c>
      <c r="B4" s="8" t="s">
        <v>7</v>
      </c>
      <c r="C4" s="8" t="s">
        <v>68</v>
      </c>
      <c r="D4" s="8" t="s">
        <v>69</v>
      </c>
      <c r="E4" s="8" t="s">
        <v>70</v>
      </c>
      <c r="F4" s="8" t="s">
        <v>71</v>
      </c>
      <c r="G4" s="8" t="s">
        <v>72</v>
      </c>
      <c r="H4" s="8" t="s">
        <v>62</v>
      </c>
      <c r="I4" s="8" t="s">
        <v>73</v>
      </c>
      <c r="J4" s="8" t="s">
        <v>74</v>
      </c>
    </row>
    <row r="5" customFormat="false" ht="15" hidden="false" customHeight="false" outlineLevel="0" collapsed="false">
      <c r="A5" s="9" t="s">
        <v>75</v>
      </c>
      <c r="B5" s="10" t="n">
        <f aca="false">COUNTIFS(Series!$A$2:$A$30,A5)</f>
        <v>5</v>
      </c>
      <c r="C5" s="10" t="n">
        <f aca="false">COUNTIFS(Model_List!$A$2:$A$171,A5)</f>
        <v>35</v>
      </c>
      <c r="D5" s="10" t="n">
        <f aca="false">COUNTIFS(Master_Photo_Sheet!$B$2:$B$494,A5)</f>
        <v>85</v>
      </c>
      <c r="E5" s="10" t="n">
        <f aca="false">COUNTIFS(Master_Photo_Sheet!$B$2:$B$494,$A5,Master_Photo_Sheet!$K$2:$K$494,"To Shoot")</f>
        <v>85</v>
      </c>
      <c r="F5" s="10" t="n">
        <f aca="false">COUNTIFS(Master_Photo_Sheet!$B$2:$B$494,$A5,Master_Photo_Sheet!$K$2:$K$494,"Shot")</f>
        <v>0</v>
      </c>
      <c r="G5" s="10" t="n">
        <f aca="false">COUNTIFS(Master_Photo_Sheet!$B$2:$B$494,$A5,Master_Photo_Sheet!$K$2:$K$494,"Edited")</f>
        <v>0</v>
      </c>
      <c r="H5" s="10" t="n">
        <f aca="false">COUNTIFS(Master_Photo_Sheet!$B$2:$B$494,$A5,Master_Photo_Sheet!$K$2:$K$494,"Uploaded")</f>
        <v>0</v>
      </c>
      <c r="I5" s="10" t="n">
        <f aca="false">COUNTIFS(Master_Photo_Sheet!$B$2:$B$494,$A5,Master_Photo_Sheet!$K$2:$K$494,"Not Applicable")</f>
        <v>0</v>
      </c>
      <c r="J5" s="11" t="n">
        <f aca="false">IF(D5-I5=0,0,H5/(D5-I5))</f>
        <v>0</v>
      </c>
    </row>
    <row r="6" customFormat="false" ht="15" hidden="false" customHeight="false" outlineLevel="0" collapsed="false">
      <c r="A6" s="9" t="s">
        <v>76</v>
      </c>
      <c r="B6" s="10" t="n">
        <f aca="false">COUNTIFS(Series!$A$2:$A$30,A6)</f>
        <v>5</v>
      </c>
      <c r="C6" s="10" t="n">
        <f aca="false">COUNTIFS(Model_List!$A$2:$A$171,A6)</f>
        <v>39</v>
      </c>
      <c r="D6" s="10" t="n">
        <f aca="false">COUNTIFS(Master_Photo_Sheet!$B$2:$B$494,A6)</f>
        <v>85</v>
      </c>
      <c r="E6" s="10" t="n">
        <f aca="false">COUNTIFS(Master_Photo_Sheet!$B$2:$B$494,$A6,Master_Photo_Sheet!$K$2:$K$494,"To Shoot")</f>
        <v>85</v>
      </c>
      <c r="F6" s="10" t="n">
        <f aca="false">COUNTIFS(Master_Photo_Sheet!$B$2:$B$494,$A6,Master_Photo_Sheet!$K$2:$K$494,"Shot")</f>
        <v>0</v>
      </c>
      <c r="G6" s="10" t="n">
        <f aca="false">COUNTIFS(Master_Photo_Sheet!$B$2:$B$494,$A6,Master_Photo_Sheet!$K$2:$K$494,"Edited")</f>
        <v>0</v>
      </c>
      <c r="H6" s="10" t="n">
        <f aca="false">COUNTIFS(Master_Photo_Sheet!$B$2:$B$494,$A6,Master_Photo_Sheet!$K$2:$K$494,"Uploaded")</f>
        <v>0</v>
      </c>
      <c r="I6" s="10" t="n">
        <f aca="false">COUNTIFS(Master_Photo_Sheet!$B$2:$B$494,$A6,Master_Photo_Sheet!$K$2:$K$494,"Not Applicable")</f>
        <v>0</v>
      </c>
      <c r="J6" s="11" t="n">
        <f aca="false">IF(D6-I6=0,0,H6/(D6-I6))</f>
        <v>0</v>
      </c>
    </row>
    <row r="7" customFormat="false" ht="15" hidden="false" customHeight="false" outlineLevel="0" collapsed="false">
      <c r="A7" s="9" t="s">
        <v>56</v>
      </c>
      <c r="B7" s="10" t="n">
        <f aca="false">COUNTIFS(Series!$A$2:$A$30,A7)</f>
        <v>4</v>
      </c>
      <c r="C7" s="10" t="n">
        <f aca="false">COUNTIFS(Model_List!$A$2:$A$171,A7)</f>
        <v>22</v>
      </c>
      <c r="D7" s="10" t="n">
        <f aca="false">COUNTIFS(Master_Photo_Sheet!$B$2:$B$494,A7)</f>
        <v>68</v>
      </c>
      <c r="E7" s="10" t="n">
        <f aca="false">COUNTIFS(Master_Photo_Sheet!$B$2:$B$494,$A7,Master_Photo_Sheet!$K$2:$K$494,"To Shoot")</f>
        <v>68</v>
      </c>
      <c r="F7" s="10" t="n">
        <f aca="false">COUNTIFS(Master_Photo_Sheet!$B$2:$B$494,$A7,Master_Photo_Sheet!$K$2:$K$494,"Shot")</f>
        <v>0</v>
      </c>
      <c r="G7" s="10" t="n">
        <f aca="false">COUNTIFS(Master_Photo_Sheet!$B$2:$B$494,$A7,Master_Photo_Sheet!$K$2:$K$494,"Edited")</f>
        <v>0</v>
      </c>
      <c r="H7" s="10" t="n">
        <f aca="false">COUNTIFS(Master_Photo_Sheet!$B$2:$B$494,$A7,Master_Photo_Sheet!$K$2:$K$494,"Uploaded")</f>
        <v>0</v>
      </c>
      <c r="I7" s="10" t="n">
        <f aca="false">COUNTIFS(Master_Photo_Sheet!$B$2:$B$494,$A7,Master_Photo_Sheet!$K$2:$K$494,"Not Applicable")</f>
        <v>0</v>
      </c>
      <c r="J7" s="11" t="n">
        <f aca="false">IF(D7-I7=0,0,H7/(D7-I7))</f>
        <v>0</v>
      </c>
    </row>
    <row r="8" customFormat="false" ht="15" hidden="false" customHeight="false" outlineLevel="0" collapsed="false">
      <c r="A8" s="9" t="s">
        <v>77</v>
      </c>
      <c r="B8" s="10" t="n">
        <f aca="false">COUNTIFS(Series!$A$2:$A$30,A8)</f>
        <v>3</v>
      </c>
      <c r="C8" s="10" t="n">
        <f aca="false">COUNTIFS(Model_List!$A$2:$A$171,A8)</f>
        <v>14</v>
      </c>
      <c r="D8" s="10" t="n">
        <f aca="false">COUNTIFS(Master_Photo_Sheet!$B$2:$B$494,A8)</f>
        <v>51</v>
      </c>
      <c r="E8" s="10" t="n">
        <f aca="false">COUNTIFS(Master_Photo_Sheet!$B$2:$B$494,$A8,Master_Photo_Sheet!$K$2:$K$494,"To Shoot")</f>
        <v>51</v>
      </c>
      <c r="F8" s="10" t="n">
        <f aca="false">COUNTIFS(Master_Photo_Sheet!$B$2:$B$494,$A8,Master_Photo_Sheet!$K$2:$K$494,"Shot")</f>
        <v>0</v>
      </c>
      <c r="G8" s="10" t="n">
        <f aca="false">COUNTIFS(Master_Photo_Sheet!$B$2:$B$494,$A8,Master_Photo_Sheet!$K$2:$K$494,"Edited")</f>
        <v>0</v>
      </c>
      <c r="H8" s="10" t="n">
        <f aca="false">COUNTIFS(Master_Photo_Sheet!$B$2:$B$494,$A8,Master_Photo_Sheet!$K$2:$K$494,"Uploaded")</f>
        <v>0</v>
      </c>
      <c r="I8" s="10" t="n">
        <f aca="false">COUNTIFS(Master_Photo_Sheet!$B$2:$B$494,$A8,Master_Photo_Sheet!$K$2:$K$494,"Not Applicable")</f>
        <v>0</v>
      </c>
      <c r="J8" s="11" t="n">
        <f aca="false">IF(D8-I8=0,0,H8/(D8-I8))</f>
        <v>0</v>
      </c>
    </row>
    <row r="9" customFormat="false" ht="15" hidden="false" customHeight="false" outlineLevel="0" collapsed="false">
      <c r="A9" s="9" t="s">
        <v>78</v>
      </c>
      <c r="B9" s="10" t="n">
        <f aca="false">COUNTIFS(Series!$A$2:$A$30,A9)</f>
        <v>8</v>
      </c>
      <c r="C9" s="10" t="n">
        <f aca="false">COUNTIFS(Model_List!$A$2:$A$171,A9)</f>
        <v>41</v>
      </c>
      <c r="D9" s="10" t="n">
        <f aca="false">COUNTIFS(Master_Photo_Sheet!$B$2:$B$494,A9)</f>
        <v>136</v>
      </c>
      <c r="E9" s="10" t="n">
        <f aca="false">COUNTIFS(Master_Photo_Sheet!$B$2:$B$494,$A9,Master_Photo_Sheet!$K$2:$K$494,"To Shoot")</f>
        <v>136</v>
      </c>
      <c r="F9" s="10" t="n">
        <f aca="false">COUNTIFS(Master_Photo_Sheet!$B$2:$B$494,$A9,Master_Photo_Sheet!$K$2:$K$494,"Shot")</f>
        <v>0</v>
      </c>
      <c r="G9" s="10" t="n">
        <f aca="false">COUNTIFS(Master_Photo_Sheet!$B$2:$B$494,$A9,Master_Photo_Sheet!$K$2:$K$494,"Edited")</f>
        <v>0</v>
      </c>
      <c r="H9" s="10" t="n">
        <f aca="false">COUNTIFS(Master_Photo_Sheet!$B$2:$B$494,$A9,Master_Photo_Sheet!$K$2:$K$494,"Uploaded")</f>
        <v>0</v>
      </c>
      <c r="I9" s="10" t="n">
        <f aca="false">COUNTIFS(Master_Photo_Sheet!$B$2:$B$494,$A9,Master_Photo_Sheet!$K$2:$K$494,"Not Applicable")</f>
        <v>0</v>
      </c>
      <c r="J9" s="11" t="n">
        <f aca="false">IF(D9-I9=0,0,H9/(D9-I9))</f>
        <v>0</v>
      </c>
    </row>
    <row r="10" customFormat="false" ht="15" hidden="false" customHeight="false" outlineLevel="0" collapsed="false">
      <c r="A10" s="9" t="s">
        <v>79</v>
      </c>
      <c r="B10" s="10" t="n">
        <f aca="false">COUNTIFS(Series!$A$2:$A$30,A10)</f>
        <v>4</v>
      </c>
      <c r="C10" s="10" t="n">
        <f aca="false">COUNTIFS(Model_List!$A$2:$A$171,A10)</f>
        <v>19</v>
      </c>
      <c r="D10" s="10" t="n">
        <f aca="false">COUNTIFS(Master_Photo_Sheet!$B$2:$B$494,A10)</f>
        <v>68</v>
      </c>
      <c r="E10" s="10" t="n">
        <f aca="false">COUNTIFS(Master_Photo_Sheet!$B$2:$B$494,$A10,Master_Photo_Sheet!$K$2:$K$494,"To Shoot")</f>
        <v>68</v>
      </c>
      <c r="F10" s="10" t="n">
        <f aca="false">COUNTIFS(Master_Photo_Sheet!$B$2:$B$494,$A10,Master_Photo_Sheet!$K$2:$K$494,"Shot")</f>
        <v>0</v>
      </c>
      <c r="G10" s="10" t="n">
        <f aca="false">COUNTIFS(Master_Photo_Sheet!$B$2:$B$494,$A10,Master_Photo_Sheet!$K$2:$K$494,"Edited")</f>
        <v>0</v>
      </c>
      <c r="H10" s="10" t="n">
        <f aca="false">COUNTIFS(Master_Photo_Sheet!$B$2:$B$494,$A10,Master_Photo_Sheet!$K$2:$K$494,"Uploaded")</f>
        <v>0</v>
      </c>
      <c r="I10" s="10" t="n">
        <f aca="false">COUNTIFS(Master_Photo_Sheet!$B$2:$B$494,$A10,Master_Photo_Sheet!$K$2:$K$494,"Not Applicable")</f>
        <v>0</v>
      </c>
      <c r="J10" s="11" t="n">
        <f aca="false">IF(D10-I10=0,0,H10/(D10-I10))</f>
        <v>0</v>
      </c>
    </row>
    <row r="11" customFormat="false" ht="15" hidden="false" customHeight="false" outlineLevel="0" collapsed="false">
      <c r="A11" s="12" t="s">
        <v>80</v>
      </c>
      <c r="B11" s="13" t="n">
        <f aca="false">SUM(B5:B10)</f>
        <v>29</v>
      </c>
      <c r="C11" s="13" t="n">
        <f aca="false">SUM(C5:C10)</f>
        <v>170</v>
      </c>
      <c r="D11" s="13" t="n">
        <f aca="false">SUM(D5:D10)</f>
        <v>493</v>
      </c>
      <c r="E11" s="13" t="n">
        <f aca="false">SUM(E5:E10)</f>
        <v>493</v>
      </c>
      <c r="F11" s="13" t="n">
        <f aca="false">SUM(F5:F10)</f>
        <v>0</v>
      </c>
      <c r="G11" s="13" t="n">
        <f aca="false">SUM(G5:G10)</f>
        <v>0</v>
      </c>
      <c r="H11" s="13" t="n">
        <f aca="false">SUM(H5:H10)</f>
        <v>0</v>
      </c>
      <c r="I11" s="13" t="n">
        <f aca="false">SUM(I5:I10)</f>
        <v>0</v>
      </c>
      <c r="J11" s="14" t="n">
        <f aca="false">IF(D11-I11=0,0,H11/(D11-I11))</f>
        <v>0</v>
      </c>
    </row>
    <row r="13" customFormat="false" ht="15" hidden="false" customHeight="false" outlineLevel="0" collapsed="false">
      <c r="A13" s="15" t="s">
        <v>81</v>
      </c>
      <c r="D13" s="15" t="n">
        <f aca="false">D11-SUM(E11:I11)</f>
        <v>0</v>
      </c>
      <c r="E13" s="2" t="s">
        <v>82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49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1" topLeftCell="E2" activePane="bottomRight" state="frozen"/>
      <selection pane="topLeft" activeCell="A1" activeCellId="0" sqref="A1"/>
      <selection pane="topRight" activeCell="E1" activeCellId="0" sqref="E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11"/>
    <col collapsed="false" customWidth="true" hidden="false" outlineLevel="0" max="3" min="3" style="0" width="32"/>
    <col collapsed="false" customWidth="true" hidden="false" outlineLevel="0" max="4" min="4" style="0" width="28"/>
    <col collapsed="false" customWidth="true" hidden="false" outlineLevel="0" max="5" min="5" style="0" width="18"/>
    <col collapsed="false" customWidth="true" hidden="false" outlineLevel="0" max="6" min="6" style="0" width="22"/>
    <col collapsed="false" customWidth="true" hidden="false" outlineLevel="0" max="7" min="7" style="0" width="40"/>
    <col collapsed="false" customWidth="true" hidden="false" outlineLevel="0" max="8" min="8" style="0" width="30"/>
    <col collapsed="false" customWidth="true" hidden="false" outlineLevel="0" max="10" min="9" style="0" width="20"/>
    <col collapsed="false" customWidth="true" hidden="false" outlineLevel="0" max="11" min="11" style="0" width="14"/>
    <col collapsed="false" customWidth="true" hidden="false" outlineLevel="0" max="12" min="12" style="0" width="15"/>
    <col collapsed="false" customWidth="true" hidden="false" outlineLevel="0" max="14" min="13" style="0" width="12"/>
    <col collapsed="false" customWidth="true" hidden="false" outlineLevel="0" max="16" min="15" style="0" width="46"/>
    <col collapsed="false" customWidth="true" hidden="false" outlineLevel="0" max="17" min="17" style="0" width="28"/>
  </cols>
  <sheetData>
    <row r="1" customFormat="false" ht="30" hidden="false" customHeight="true" outlineLevel="0" collapsed="false">
      <c r="A1" s="8" t="s">
        <v>83</v>
      </c>
      <c r="B1" s="8" t="s">
        <v>47</v>
      </c>
      <c r="C1" s="8" t="s">
        <v>7</v>
      </c>
      <c r="D1" s="8" t="s">
        <v>48</v>
      </c>
      <c r="E1" s="8" t="s">
        <v>84</v>
      </c>
      <c r="F1" s="8" t="s">
        <v>85</v>
      </c>
      <c r="G1" s="8" t="s">
        <v>86</v>
      </c>
      <c r="H1" s="6" t="s">
        <v>49</v>
      </c>
      <c r="I1" s="6" t="s">
        <v>50</v>
      </c>
      <c r="J1" s="6" t="s">
        <v>51</v>
      </c>
      <c r="K1" s="6" t="s">
        <v>52</v>
      </c>
      <c r="L1" s="6" t="s">
        <v>53</v>
      </c>
      <c r="M1" s="6" t="s">
        <v>54</v>
      </c>
      <c r="N1" s="6" t="s">
        <v>55</v>
      </c>
      <c r="O1" s="8" t="s">
        <v>87</v>
      </c>
      <c r="P1" s="8" t="s">
        <v>88</v>
      </c>
      <c r="Q1" s="6" t="s">
        <v>89</v>
      </c>
    </row>
    <row r="2" customFormat="false" ht="23.85" hidden="false" customHeight="false" outlineLevel="0" collapsed="false">
      <c r="A2" s="16" t="n">
        <f aca="false">ROW()-1</f>
        <v>1</v>
      </c>
      <c r="B2" s="17" t="s">
        <v>75</v>
      </c>
      <c r="C2" s="17" t="s">
        <v>90</v>
      </c>
      <c r="D2" s="17" t="s">
        <v>58</v>
      </c>
      <c r="E2" s="16" t="str">
        <f aca="false">IFERROR(INDEX(Lists!$B$2:$B$7,MATCH(B2,Lists!$A$2:$A$7,0))&amp;"-"&amp;INDEX(Series!$C$2:$C$30,MATCH(C2,Series!$B$2:$B$30,0))&amp;"-"&amp;INDEX(Part_Categories!$A$2:$A$18,MATCH(D2,Part_Categories!$B$2:$B$18,0))&amp;"-01","CHECK")</f>
        <v>GRA-V-CLN-01</v>
      </c>
      <c r="F2" s="16" t="str">
        <f aca="false">E2&amp;".jpg"</f>
        <v>GRA-V-CLN-01.jpg</v>
      </c>
      <c r="G2" s="18" t="str">
        <f aca="false">IFERROR(INDEX(Series!$F$2:$F$30,MATCH(C2,Series!$B$2:$B$30,0)),"")</f>
        <v>V 300, V 450, V 600, V 700, V 1100, V 1400</v>
      </c>
      <c r="H2" s="19"/>
      <c r="I2" s="19"/>
      <c r="J2" s="19"/>
      <c r="K2" s="19" t="s">
        <v>70</v>
      </c>
      <c r="L2" s="19"/>
      <c r="M2" s="19"/>
      <c r="N2" s="19"/>
      <c r="O2" s="18" t="str">
        <f aca="false">C2&amp;" "&amp;D2&amp;" spare part - Efforts Engineers"</f>
        <v>Grasso V Series Cylinder Liner spare part - Efforts Engineers</v>
      </c>
      <c r="P2" s="16" t="str">
        <f aca="false">IFERROR("/"&amp;LOWER(B2)&amp;"/"&amp;INDEX(Series!$D$2:$D$30,MATCH(C2,Series!$B$2:$B$30,0))&amp;"/"&amp;INDEX(Part_Categories!$C$2:$C$18,MATCH(D2,Part_Categories!$B$2:$B$18,0)),"CHECK")</f>
        <v>/grasso/v-series/cylinder-liner</v>
      </c>
      <c r="Q2" s="19"/>
    </row>
    <row r="3" customFormat="false" ht="23.85" hidden="false" customHeight="false" outlineLevel="0" collapsed="false">
      <c r="A3" s="16" t="n">
        <f aca="false">ROW()-1</f>
        <v>2</v>
      </c>
      <c r="B3" s="17" t="s">
        <v>75</v>
      </c>
      <c r="C3" s="17" t="s">
        <v>90</v>
      </c>
      <c r="D3" s="17" t="s">
        <v>91</v>
      </c>
      <c r="E3" s="16" t="str">
        <f aca="false">IFERROR(INDEX(Lists!$B$2:$B$7,MATCH(B3,Lists!$A$2:$A$7,0))&amp;"-"&amp;INDEX(Series!$C$2:$C$30,MATCH(C3,Series!$B$2:$B$30,0))&amp;"-"&amp;INDEX(Part_Categories!$A$2:$A$18,MATCH(D3,Part_Categories!$B$2:$B$18,0))&amp;"-01","CHECK")</f>
        <v>GRA-V-PST-01</v>
      </c>
      <c r="F3" s="16" t="str">
        <f aca="false">E3&amp;".jpg"</f>
        <v>GRA-V-PST-01.jpg</v>
      </c>
      <c r="G3" s="18" t="str">
        <f aca="false">IFERROR(INDEX(Series!$F$2:$F$30,MATCH(C3,Series!$B$2:$B$30,0)),"")</f>
        <v>V 300, V 450, V 600, V 700, V 1100, V 1400</v>
      </c>
      <c r="H3" s="19"/>
      <c r="I3" s="19"/>
      <c r="J3" s="19"/>
      <c r="K3" s="19" t="s">
        <v>70</v>
      </c>
      <c r="L3" s="19"/>
      <c r="M3" s="19"/>
      <c r="N3" s="19"/>
      <c r="O3" s="18" t="str">
        <f aca="false">C3&amp;" "&amp;D3&amp;" spare part - Efforts Engineers"</f>
        <v>Grasso V Series Piston Assembly spare part - Efforts Engineers</v>
      </c>
      <c r="P3" s="16" t="str">
        <f aca="false">IFERROR("/"&amp;LOWER(B3)&amp;"/"&amp;INDEX(Series!$D$2:$D$30,MATCH(C3,Series!$B$2:$B$30,0))&amp;"/"&amp;INDEX(Part_Categories!$C$2:$C$18,MATCH(D3,Part_Categories!$B$2:$B$18,0)),"CHECK")</f>
        <v>/grasso/v-series/piston-assembly</v>
      </c>
      <c r="Q3" s="19"/>
    </row>
    <row r="4" customFormat="false" ht="23.85" hidden="false" customHeight="false" outlineLevel="0" collapsed="false">
      <c r="A4" s="16" t="n">
        <f aca="false">ROW()-1</f>
        <v>3</v>
      </c>
      <c r="B4" s="17" t="s">
        <v>75</v>
      </c>
      <c r="C4" s="17" t="s">
        <v>90</v>
      </c>
      <c r="D4" s="17" t="s">
        <v>92</v>
      </c>
      <c r="E4" s="16" t="str">
        <f aca="false">IFERROR(INDEX(Lists!$B$2:$B$7,MATCH(B4,Lists!$A$2:$A$7,0))&amp;"-"&amp;INDEX(Series!$C$2:$C$30,MATCH(C4,Series!$B$2:$B$30,0))&amp;"-"&amp;INDEX(Part_Categories!$A$2:$A$18,MATCH(D4,Part_Categories!$B$2:$B$18,0))&amp;"-01","CHECK")</f>
        <v>GRA-V-PRG-01</v>
      </c>
      <c r="F4" s="16" t="str">
        <f aca="false">E4&amp;".jpg"</f>
        <v>GRA-V-PRG-01.jpg</v>
      </c>
      <c r="G4" s="18" t="str">
        <f aca="false">IFERROR(INDEX(Series!$F$2:$F$30,MATCH(C4,Series!$B$2:$B$30,0)),"")</f>
        <v>V 300, V 450, V 600, V 700, V 1100, V 1400</v>
      </c>
      <c r="H4" s="19"/>
      <c r="I4" s="19"/>
      <c r="J4" s="19"/>
      <c r="K4" s="19" t="s">
        <v>70</v>
      </c>
      <c r="L4" s="19"/>
      <c r="M4" s="19"/>
      <c r="N4" s="19"/>
      <c r="O4" s="18" t="str">
        <f aca="false">C4&amp;" "&amp;D4&amp;" spare part - Efforts Engineers"</f>
        <v>Grasso V Series Piston Ring Set spare part - Efforts Engineers</v>
      </c>
      <c r="P4" s="16" t="str">
        <f aca="false">IFERROR("/"&amp;LOWER(B4)&amp;"/"&amp;INDEX(Series!$D$2:$D$30,MATCH(C4,Series!$B$2:$B$30,0))&amp;"/"&amp;INDEX(Part_Categories!$C$2:$C$18,MATCH(D4,Part_Categories!$B$2:$B$18,0)),"CHECK")</f>
        <v>/grasso/v-series/piston-ring-set</v>
      </c>
      <c r="Q4" s="19"/>
    </row>
    <row r="5" customFormat="false" ht="23.85" hidden="false" customHeight="false" outlineLevel="0" collapsed="false">
      <c r="A5" s="16" t="n">
        <f aca="false">ROW()-1</f>
        <v>4</v>
      </c>
      <c r="B5" s="17" t="s">
        <v>75</v>
      </c>
      <c r="C5" s="17" t="s">
        <v>90</v>
      </c>
      <c r="D5" s="17" t="s">
        <v>93</v>
      </c>
      <c r="E5" s="16" t="str">
        <f aca="false">IFERROR(INDEX(Lists!$B$2:$B$7,MATCH(B5,Lists!$A$2:$A$7,0))&amp;"-"&amp;INDEX(Series!$C$2:$C$30,MATCH(C5,Series!$B$2:$B$30,0))&amp;"-"&amp;INDEX(Part_Categories!$A$2:$A$18,MATCH(D5,Part_Categories!$B$2:$B$18,0))&amp;"-01","CHECK")</f>
        <v>GRA-V-CRD-01</v>
      </c>
      <c r="F5" s="16" t="str">
        <f aca="false">E5&amp;".jpg"</f>
        <v>GRA-V-CRD-01.jpg</v>
      </c>
      <c r="G5" s="18" t="str">
        <f aca="false">IFERROR(INDEX(Series!$F$2:$F$30,MATCH(C5,Series!$B$2:$B$30,0)),"")</f>
        <v>V 300, V 450, V 600, V 700, V 1100, V 1400</v>
      </c>
      <c r="H5" s="19"/>
      <c r="I5" s="19"/>
      <c r="J5" s="19"/>
      <c r="K5" s="19" t="s">
        <v>70</v>
      </c>
      <c r="L5" s="19"/>
      <c r="M5" s="19"/>
      <c r="N5" s="19"/>
      <c r="O5" s="18" t="str">
        <f aca="false">C5&amp;" "&amp;D5&amp;" spare part - Efforts Engineers"</f>
        <v>Grasso V Series Connecting Rod spare part - Efforts Engineers</v>
      </c>
      <c r="P5" s="16" t="str">
        <f aca="false">IFERROR("/"&amp;LOWER(B5)&amp;"/"&amp;INDEX(Series!$D$2:$D$30,MATCH(C5,Series!$B$2:$B$30,0))&amp;"/"&amp;INDEX(Part_Categories!$C$2:$C$18,MATCH(D5,Part_Categories!$B$2:$B$18,0)),"CHECK")</f>
        <v>/grasso/v-series/connecting-rod</v>
      </c>
      <c r="Q5" s="19"/>
    </row>
    <row r="6" customFormat="false" ht="23.85" hidden="false" customHeight="false" outlineLevel="0" collapsed="false">
      <c r="A6" s="16" t="n">
        <f aca="false">ROW()-1</f>
        <v>5</v>
      </c>
      <c r="B6" s="17" t="s">
        <v>75</v>
      </c>
      <c r="C6" s="17" t="s">
        <v>90</v>
      </c>
      <c r="D6" s="17" t="s">
        <v>94</v>
      </c>
      <c r="E6" s="16" t="str">
        <f aca="false">IFERROR(INDEX(Lists!$B$2:$B$7,MATCH(B6,Lists!$A$2:$A$7,0))&amp;"-"&amp;INDEX(Series!$C$2:$C$30,MATCH(C6,Series!$B$2:$B$30,0))&amp;"-"&amp;INDEX(Part_Categories!$A$2:$A$18,MATCH(D6,Part_Categories!$B$2:$B$18,0))&amp;"-01","CHECK")</f>
        <v>GRA-V-CRK-01</v>
      </c>
      <c r="F6" s="16" t="str">
        <f aca="false">E6&amp;".jpg"</f>
        <v>GRA-V-CRK-01.jpg</v>
      </c>
      <c r="G6" s="18" t="str">
        <f aca="false">IFERROR(INDEX(Series!$F$2:$F$30,MATCH(C6,Series!$B$2:$B$30,0)),"")</f>
        <v>V 300, V 450, V 600, V 700, V 1100, V 1400</v>
      </c>
      <c r="H6" s="19"/>
      <c r="I6" s="19"/>
      <c r="J6" s="19"/>
      <c r="K6" s="19" t="s">
        <v>70</v>
      </c>
      <c r="L6" s="19"/>
      <c r="M6" s="19"/>
      <c r="N6" s="19"/>
      <c r="O6" s="18" t="str">
        <f aca="false">C6&amp;" "&amp;D6&amp;" spare part - Efforts Engineers"</f>
        <v>Grasso V Series Crankshaft spare part - Efforts Engineers</v>
      </c>
      <c r="P6" s="16" t="str">
        <f aca="false">IFERROR("/"&amp;LOWER(B6)&amp;"/"&amp;INDEX(Series!$D$2:$D$30,MATCH(C6,Series!$B$2:$B$30,0))&amp;"/"&amp;INDEX(Part_Categories!$C$2:$C$18,MATCH(D6,Part_Categories!$B$2:$B$18,0)),"CHECK")</f>
        <v>/grasso/v-series/crankshaft</v>
      </c>
      <c r="Q6" s="19"/>
    </row>
    <row r="7" customFormat="false" ht="23.85" hidden="false" customHeight="false" outlineLevel="0" collapsed="false">
      <c r="A7" s="16" t="n">
        <f aca="false">ROW()-1</f>
        <v>6</v>
      </c>
      <c r="B7" s="17" t="s">
        <v>75</v>
      </c>
      <c r="C7" s="17" t="s">
        <v>90</v>
      </c>
      <c r="D7" s="17" t="s">
        <v>95</v>
      </c>
      <c r="E7" s="16" t="str">
        <f aca="false">IFERROR(INDEX(Lists!$B$2:$B$7,MATCH(B7,Lists!$A$2:$A$7,0))&amp;"-"&amp;INDEX(Series!$C$2:$C$30,MATCH(C7,Series!$B$2:$B$30,0))&amp;"-"&amp;INDEX(Part_Categories!$A$2:$A$18,MATCH(D7,Part_Categories!$B$2:$B$18,0))&amp;"-01","CHECK")</f>
        <v>GRA-V-PIN-01</v>
      </c>
      <c r="F7" s="16" t="str">
        <f aca="false">E7&amp;".jpg"</f>
        <v>GRA-V-PIN-01.jpg</v>
      </c>
      <c r="G7" s="18" t="str">
        <f aca="false">IFERROR(INDEX(Series!$F$2:$F$30,MATCH(C7,Series!$B$2:$B$30,0)),"")</f>
        <v>V 300, V 450, V 600, V 700, V 1100, V 1400</v>
      </c>
      <c r="H7" s="19"/>
      <c r="I7" s="19"/>
      <c r="J7" s="19"/>
      <c r="K7" s="19" t="s">
        <v>70</v>
      </c>
      <c r="L7" s="19"/>
      <c r="M7" s="19"/>
      <c r="N7" s="19"/>
      <c r="O7" s="18" t="str">
        <f aca="false">C7&amp;" "&amp;D7&amp;" spare part - Efforts Engineers"</f>
        <v>Grasso V Series Gudgeon Pin and Bush spare part - Efforts Engineers</v>
      </c>
      <c r="P7" s="16" t="str">
        <f aca="false">IFERROR("/"&amp;LOWER(B7)&amp;"/"&amp;INDEX(Series!$D$2:$D$30,MATCH(C7,Series!$B$2:$B$30,0))&amp;"/"&amp;INDEX(Part_Categories!$C$2:$C$18,MATCH(D7,Part_Categories!$B$2:$B$18,0)),"CHECK")</f>
        <v>/grasso/v-series/gudgeon-pin-and-bush</v>
      </c>
      <c r="Q7" s="19"/>
    </row>
    <row r="8" customFormat="false" ht="23.85" hidden="false" customHeight="false" outlineLevel="0" collapsed="false">
      <c r="A8" s="16" t="n">
        <f aca="false">ROW()-1</f>
        <v>7</v>
      </c>
      <c r="B8" s="17" t="s">
        <v>75</v>
      </c>
      <c r="C8" s="17" t="s">
        <v>90</v>
      </c>
      <c r="D8" s="17" t="s">
        <v>96</v>
      </c>
      <c r="E8" s="16" t="str">
        <f aca="false">IFERROR(INDEX(Lists!$B$2:$B$7,MATCH(B8,Lists!$A$2:$A$7,0))&amp;"-"&amp;INDEX(Series!$C$2:$C$30,MATCH(C8,Series!$B$2:$B$30,0))&amp;"-"&amp;INDEX(Part_Categories!$A$2:$A$18,MATCH(D8,Part_Categories!$B$2:$B$18,0))&amp;"-01","CHECK")</f>
        <v>GRA-V-BRG-01</v>
      </c>
      <c r="F8" s="16" t="str">
        <f aca="false">E8&amp;".jpg"</f>
        <v>GRA-V-BRG-01.jpg</v>
      </c>
      <c r="G8" s="18" t="str">
        <f aca="false">IFERROR(INDEX(Series!$F$2:$F$30,MATCH(C8,Series!$B$2:$B$30,0)),"")</f>
        <v>V 300, V 450, V 600, V 700, V 1100, V 1400</v>
      </c>
      <c r="H8" s="19"/>
      <c r="I8" s="19"/>
      <c r="J8" s="19"/>
      <c r="K8" s="19" t="s">
        <v>70</v>
      </c>
      <c r="L8" s="19"/>
      <c r="M8" s="19"/>
      <c r="N8" s="19"/>
      <c r="O8" s="18" t="str">
        <f aca="false">C8&amp;" "&amp;D8&amp;" spare part - Efforts Engineers"</f>
        <v>Grasso V Series Main Bearing and Bush spare part - Efforts Engineers</v>
      </c>
      <c r="P8" s="16" t="str">
        <f aca="false">IFERROR("/"&amp;LOWER(B8)&amp;"/"&amp;INDEX(Series!$D$2:$D$30,MATCH(C8,Series!$B$2:$B$30,0))&amp;"/"&amp;INDEX(Part_Categories!$C$2:$C$18,MATCH(D8,Part_Categories!$B$2:$B$18,0)),"CHECK")</f>
        <v>/grasso/v-series/main-bearing-and-bush</v>
      </c>
      <c r="Q8" s="19"/>
    </row>
    <row r="9" customFormat="false" ht="23.85" hidden="false" customHeight="false" outlineLevel="0" collapsed="false">
      <c r="A9" s="16" t="n">
        <f aca="false">ROW()-1</f>
        <v>8</v>
      </c>
      <c r="B9" s="17" t="s">
        <v>75</v>
      </c>
      <c r="C9" s="17" t="s">
        <v>90</v>
      </c>
      <c r="D9" s="17" t="s">
        <v>97</v>
      </c>
      <c r="E9" s="16" t="str">
        <f aca="false">IFERROR(INDEX(Lists!$B$2:$B$7,MATCH(B9,Lists!$A$2:$A$7,0))&amp;"-"&amp;INDEX(Series!$C$2:$C$30,MATCH(C9,Series!$B$2:$B$30,0))&amp;"-"&amp;INDEX(Part_Categories!$A$2:$A$18,MATCH(D9,Part_Categories!$B$2:$B$18,0))&amp;"-01","CHECK")</f>
        <v>GRA-V-SVP-01</v>
      </c>
      <c r="F9" s="16" t="str">
        <f aca="false">E9&amp;".jpg"</f>
        <v>GRA-V-SVP-01.jpg</v>
      </c>
      <c r="G9" s="18" t="str">
        <f aca="false">IFERROR(INDEX(Series!$F$2:$F$30,MATCH(C9,Series!$B$2:$B$30,0)),"")</f>
        <v>V 300, V 450, V 600, V 700, V 1100, V 1400</v>
      </c>
      <c r="H9" s="19"/>
      <c r="I9" s="19"/>
      <c r="J9" s="19"/>
      <c r="K9" s="19" t="s">
        <v>70</v>
      </c>
      <c r="L9" s="19"/>
      <c r="M9" s="19"/>
      <c r="N9" s="19"/>
      <c r="O9" s="18" t="str">
        <f aca="false">C9&amp;" "&amp;D9&amp;" spare part - Efforts Engineers"</f>
        <v>Grasso V Series Suction Valve Plate spare part - Efforts Engineers</v>
      </c>
      <c r="P9" s="16" t="str">
        <f aca="false">IFERROR("/"&amp;LOWER(B9)&amp;"/"&amp;INDEX(Series!$D$2:$D$30,MATCH(C9,Series!$B$2:$B$30,0))&amp;"/"&amp;INDEX(Part_Categories!$C$2:$C$18,MATCH(D9,Part_Categories!$B$2:$B$18,0)),"CHECK")</f>
        <v>/grasso/v-series/suction-valve-plate</v>
      </c>
      <c r="Q9" s="19"/>
    </row>
    <row r="10" customFormat="false" ht="23.85" hidden="false" customHeight="false" outlineLevel="0" collapsed="false">
      <c r="A10" s="16" t="n">
        <f aca="false">ROW()-1</f>
        <v>9</v>
      </c>
      <c r="B10" s="17" t="s">
        <v>75</v>
      </c>
      <c r="C10" s="17" t="s">
        <v>90</v>
      </c>
      <c r="D10" s="17" t="s">
        <v>98</v>
      </c>
      <c r="E10" s="16" t="str">
        <f aca="false">IFERROR(INDEX(Lists!$B$2:$B$7,MATCH(B10,Lists!$A$2:$A$7,0))&amp;"-"&amp;INDEX(Series!$C$2:$C$30,MATCH(C10,Series!$B$2:$B$30,0))&amp;"-"&amp;INDEX(Part_Categories!$A$2:$A$18,MATCH(D10,Part_Categories!$B$2:$B$18,0))&amp;"-01","CHECK")</f>
        <v>GRA-V-DVA-01</v>
      </c>
      <c r="F10" s="16" t="str">
        <f aca="false">E10&amp;".jpg"</f>
        <v>GRA-V-DVA-01.jpg</v>
      </c>
      <c r="G10" s="18" t="str">
        <f aca="false">IFERROR(INDEX(Series!$F$2:$F$30,MATCH(C10,Series!$B$2:$B$30,0)),"")</f>
        <v>V 300, V 450, V 600, V 700, V 1100, V 1400</v>
      </c>
      <c r="H10" s="19"/>
      <c r="I10" s="19"/>
      <c r="J10" s="19"/>
      <c r="K10" s="19" t="s">
        <v>70</v>
      </c>
      <c r="L10" s="19"/>
      <c r="M10" s="19"/>
      <c r="N10" s="19"/>
      <c r="O10" s="18" t="str">
        <f aca="false">C10&amp;" "&amp;D10&amp;" spare part - Efforts Engineers"</f>
        <v>Grasso V Series Discharge Valve Assembly spare part - Efforts Engineers</v>
      </c>
      <c r="P10" s="16" t="str">
        <f aca="false">IFERROR("/"&amp;LOWER(B10)&amp;"/"&amp;INDEX(Series!$D$2:$D$30,MATCH(C10,Series!$B$2:$B$30,0))&amp;"/"&amp;INDEX(Part_Categories!$C$2:$C$18,MATCH(D10,Part_Categories!$B$2:$B$18,0)),"CHECK")</f>
        <v>/grasso/v-series/discharge-valve-assembly</v>
      </c>
      <c r="Q10" s="19"/>
    </row>
    <row r="11" customFormat="false" ht="23.85" hidden="false" customHeight="false" outlineLevel="0" collapsed="false">
      <c r="A11" s="16" t="n">
        <f aca="false">ROW()-1</f>
        <v>10</v>
      </c>
      <c r="B11" s="17" t="s">
        <v>75</v>
      </c>
      <c r="C11" s="17" t="s">
        <v>90</v>
      </c>
      <c r="D11" s="17" t="s">
        <v>99</v>
      </c>
      <c r="E11" s="16" t="str">
        <f aca="false">IFERROR(INDEX(Lists!$B$2:$B$7,MATCH(B11,Lists!$A$2:$A$7,0))&amp;"-"&amp;INDEX(Series!$C$2:$C$30,MATCH(C11,Series!$B$2:$B$30,0))&amp;"-"&amp;INDEX(Part_Categories!$A$2:$A$18,MATCH(D11,Part_Categories!$B$2:$B$18,0))&amp;"-01","CHECK")</f>
        <v>GRA-V-VSP-01</v>
      </c>
      <c r="F11" s="16" t="str">
        <f aca="false">E11&amp;".jpg"</f>
        <v>GRA-V-VSP-01.jpg</v>
      </c>
      <c r="G11" s="18" t="str">
        <f aca="false">IFERROR(INDEX(Series!$F$2:$F$30,MATCH(C11,Series!$B$2:$B$30,0)),"")</f>
        <v>V 300, V 450, V 600, V 700, V 1100, V 1400</v>
      </c>
      <c r="H11" s="19"/>
      <c r="I11" s="19"/>
      <c r="J11" s="19"/>
      <c r="K11" s="19" t="s">
        <v>70</v>
      </c>
      <c r="L11" s="19"/>
      <c r="M11" s="19"/>
      <c r="N11" s="19"/>
      <c r="O11" s="18" t="str">
        <f aca="false">C11&amp;" "&amp;D11&amp;" spare part - Efforts Engineers"</f>
        <v>Grasso V Series Valve Spring and Cage spare part - Efforts Engineers</v>
      </c>
      <c r="P11" s="16" t="str">
        <f aca="false">IFERROR("/"&amp;LOWER(B11)&amp;"/"&amp;INDEX(Series!$D$2:$D$30,MATCH(C11,Series!$B$2:$B$30,0))&amp;"/"&amp;INDEX(Part_Categories!$C$2:$C$18,MATCH(D11,Part_Categories!$B$2:$B$18,0)),"CHECK")</f>
        <v>/grasso/v-series/valve-spring-and-cage</v>
      </c>
      <c r="Q11" s="19"/>
    </row>
    <row r="12" customFormat="false" ht="23.85" hidden="false" customHeight="false" outlineLevel="0" collapsed="false">
      <c r="A12" s="16" t="n">
        <f aca="false">ROW()-1</f>
        <v>11</v>
      </c>
      <c r="B12" s="17" t="s">
        <v>75</v>
      </c>
      <c r="C12" s="17" t="s">
        <v>90</v>
      </c>
      <c r="D12" s="17" t="s">
        <v>100</v>
      </c>
      <c r="E12" s="16" t="str">
        <f aca="false">IFERROR(INDEX(Lists!$B$2:$B$7,MATCH(B12,Lists!$A$2:$A$7,0))&amp;"-"&amp;INDEX(Series!$C$2:$C$30,MATCH(C12,Series!$B$2:$B$30,0))&amp;"-"&amp;INDEX(Part_Categories!$A$2:$A$18,MATCH(D12,Part_Categories!$B$2:$B$18,0))&amp;"-01","CHECK")</f>
        <v>GRA-V-HDC-01</v>
      </c>
      <c r="F12" s="16" t="str">
        <f aca="false">E12&amp;".jpg"</f>
        <v>GRA-V-HDC-01.jpg</v>
      </c>
      <c r="G12" s="18" t="str">
        <f aca="false">IFERROR(INDEX(Series!$F$2:$F$30,MATCH(C12,Series!$B$2:$B$30,0)),"")</f>
        <v>V 300, V 450, V 600, V 700, V 1100, V 1400</v>
      </c>
      <c r="H12" s="19"/>
      <c r="I12" s="19"/>
      <c r="J12" s="19"/>
      <c r="K12" s="19" t="s">
        <v>70</v>
      </c>
      <c r="L12" s="19"/>
      <c r="M12" s="19"/>
      <c r="N12" s="19"/>
      <c r="O12" s="18" t="str">
        <f aca="false">C12&amp;" "&amp;D12&amp;" spare part - Efforts Engineers"</f>
        <v>Grasso V Series Cylinder Head Cover spare part - Efforts Engineers</v>
      </c>
      <c r="P12" s="16" t="str">
        <f aca="false">IFERROR("/"&amp;LOWER(B12)&amp;"/"&amp;INDEX(Series!$D$2:$D$30,MATCH(C12,Series!$B$2:$B$30,0))&amp;"/"&amp;INDEX(Part_Categories!$C$2:$C$18,MATCH(D12,Part_Categories!$B$2:$B$18,0)),"CHECK")</f>
        <v>/grasso/v-series/cylinder-head-cover</v>
      </c>
      <c r="Q12" s="19"/>
    </row>
    <row r="13" customFormat="false" ht="23.85" hidden="false" customHeight="false" outlineLevel="0" collapsed="false">
      <c r="A13" s="16" t="n">
        <f aca="false">ROW()-1</f>
        <v>12</v>
      </c>
      <c r="B13" s="17" t="s">
        <v>75</v>
      </c>
      <c r="C13" s="17" t="s">
        <v>90</v>
      </c>
      <c r="D13" s="17" t="s">
        <v>101</v>
      </c>
      <c r="E13" s="16" t="str">
        <f aca="false">IFERROR(INDEX(Lists!$B$2:$B$7,MATCH(B13,Lists!$A$2:$A$7,0))&amp;"-"&amp;INDEX(Series!$C$2:$C$30,MATCH(C13,Series!$B$2:$B$30,0))&amp;"-"&amp;INDEX(Part_Categories!$A$2:$A$18,MATCH(D13,Part_Categories!$B$2:$B$18,0))&amp;"-01","CHECK")</f>
        <v>GRA-V-GSK-01</v>
      </c>
      <c r="F13" s="16" t="str">
        <f aca="false">E13&amp;".jpg"</f>
        <v>GRA-V-GSK-01.jpg</v>
      </c>
      <c r="G13" s="18" t="str">
        <f aca="false">IFERROR(INDEX(Series!$F$2:$F$30,MATCH(C13,Series!$B$2:$B$30,0)),"")</f>
        <v>V 300, V 450, V 600, V 700, V 1100, V 1400</v>
      </c>
      <c r="H13" s="19"/>
      <c r="I13" s="19"/>
      <c r="J13" s="19"/>
      <c r="K13" s="19" t="s">
        <v>70</v>
      </c>
      <c r="L13" s="19"/>
      <c r="M13" s="19"/>
      <c r="N13" s="19"/>
      <c r="O13" s="18" t="str">
        <f aca="false">C13&amp;" "&amp;D13&amp;" spare part - Efforts Engineers"</f>
        <v>Grasso V Series Gasket and Overhaul Kit spare part - Efforts Engineers</v>
      </c>
      <c r="P13" s="16" t="str">
        <f aca="false">IFERROR("/"&amp;LOWER(B13)&amp;"/"&amp;INDEX(Series!$D$2:$D$30,MATCH(C13,Series!$B$2:$B$30,0))&amp;"/"&amp;INDEX(Part_Categories!$C$2:$C$18,MATCH(D13,Part_Categories!$B$2:$B$18,0)),"CHECK")</f>
        <v>/grasso/v-series/gasket-and-overhaul-kit</v>
      </c>
      <c r="Q13" s="19"/>
    </row>
    <row r="14" customFormat="false" ht="23.85" hidden="false" customHeight="false" outlineLevel="0" collapsed="false">
      <c r="A14" s="16" t="n">
        <f aca="false">ROW()-1</f>
        <v>13</v>
      </c>
      <c r="B14" s="17" t="s">
        <v>75</v>
      </c>
      <c r="C14" s="17" t="s">
        <v>90</v>
      </c>
      <c r="D14" s="17" t="s">
        <v>102</v>
      </c>
      <c r="E14" s="16" t="str">
        <f aca="false">IFERROR(INDEX(Lists!$B$2:$B$7,MATCH(B14,Lists!$A$2:$A$7,0))&amp;"-"&amp;INDEX(Series!$C$2:$C$30,MATCH(C14,Series!$B$2:$B$30,0))&amp;"-"&amp;INDEX(Part_Categories!$A$2:$A$18,MATCH(D14,Part_Categories!$B$2:$B$18,0))&amp;"-01","CHECK")</f>
        <v>GRA-V-OPA-01</v>
      </c>
      <c r="F14" s="16" t="str">
        <f aca="false">E14&amp;".jpg"</f>
        <v>GRA-V-OPA-01.jpg</v>
      </c>
      <c r="G14" s="18" t="str">
        <f aca="false">IFERROR(INDEX(Series!$F$2:$F$30,MATCH(C14,Series!$B$2:$B$30,0)),"")</f>
        <v>V 300, V 450, V 600, V 700, V 1100, V 1400</v>
      </c>
      <c r="H14" s="19"/>
      <c r="I14" s="19"/>
      <c r="J14" s="19"/>
      <c r="K14" s="19" t="s">
        <v>70</v>
      </c>
      <c r="L14" s="19"/>
      <c r="M14" s="19"/>
      <c r="N14" s="19"/>
      <c r="O14" s="18" t="str">
        <f aca="false">C14&amp;" "&amp;D14&amp;" spare part - Efforts Engineers"</f>
        <v>Grasso V Series Oil Pump Assembly spare part - Efforts Engineers</v>
      </c>
      <c r="P14" s="16" t="str">
        <f aca="false">IFERROR("/"&amp;LOWER(B14)&amp;"/"&amp;INDEX(Series!$D$2:$D$30,MATCH(C14,Series!$B$2:$B$30,0))&amp;"/"&amp;INDEX(Part_Categories!$C$2:$C$18,MATCH(D14,Part_Categories!$B$2:$B$18,0)),"CHECK")</f>
        <v>/grasso/v-series/oil-pump-assembly</v>
      </c>
      <c r="Q14" s="19"/>
    </row>
    <row r="15" customFormat="false" ht="23.85" hidden="false" customHeight="false" outlineLevel="0" collapsed="false">
      <c r="A15" s="16" t="n">
        <f aca="false">ROW()-1</f>
        <v>14</v>
      </c>
      <c r="B15" s="17" t="s">
        <v>75</v>
      </c>
      <c r="C15" s="17" t="s">
        <v>90</v>
      </c>
      <c r="D15" s="17" t="s">
        <v>103</v>
      </c>
      <c r="E15" s="16" t="str">
        <f aca="false">IFERROR(INDEX(Lists!$B$2:$B$7,MATCH(B15,Lists!$A$2:$A$7,0))&amp;"-"&amp;INDEX(Series!$C$2:$C$30,MATCH(C15,Series!$B$2:$B$30,0))&amp;"-"&amp;INDEX(Part_Categories!$A$2:$A$18,MATCH(D15,Part_Categories!$B$2:$B$18,0))&amp;"-01","CHECK")</f>
        <v>GRA-V-SHS-01</v>
      </c>
      <c r="F15" s="16" t="str">
        <f aca="false">E15&amp;".jpg"</f>
        <v>GRA-V-SHS-01.jpg</v>
      </c>
      <c r="G15" s="18" t="str">
        <f aca="false">IFERROR(INDEX(Series!$F$2:$F$30,MATCH(C15,Series!$B$2:$B$30,0)),"")</f>
        <v>V 300, V 450, V 600, V 700, V 1100, V 1400</v>
      </c>
      <c r="H15" s="19"/>
      <c r="I15" s="19"/>
      <c r="J15" s="19"/>
      <c r="K15" s="19" t="s">
        <v>70</v>
      </c>
      <c r="L15" s="19"/>
      <c r="M15" s="19"/>
      <c r="N15" s="19"/>
      <c r="O15" s="18" t="str">
        <f aca="false">C15&amp;" "&amp;D15&amp;" spare part - Efforts Engineers"</f>
        <v>Grasso V Series Shaft Seal spare part - Efforts Engineers</v>
      </c>
      <c r="P15" s="16" t="str">
        <f aca="false">IFERROR("/"&amp;LOWER(B15)&amp;"/"&amp;INDEX(Series!$D$2:$D$30,MATCH(C15,Series!$B$2:$B$30,0))&amp;"/"&amp;INDEX(Part_Categories!$C$2:$C$18,MATCH(D15,Part_Categories!$B$2:$B$18,0)),"CHECK")</f>
        <v>/grasso/v-series/shaft-seal</v>
      </c>
      <c r="Q15" s="19"/>
    </row>
    <row r="16" customFormat="false" ht="23.85" hidden="false" customHeight="false" outlineLevel="0" collapsed="false">
      <c r="A16" s="16" t="n">
        <f aca="false">ROW()-1</f>
        <v>15</v>
      </c>
      <c r="B16" s="17" t="s">
        <v>75</v>
      </c>
      <c r="C16" s="17" t="s">
        <v>90</v>
      </c>
      <c r="D16" s="17" t="s">
        <v>104</v>
      </c>
      <c r="E16" s="16" t="str">
        <f aca="false">IFERROR(INDEX(Lists!$B$2:$B$7,MATCH(B16,Lists!$A$2:$A$7,0))&amp;"-"&amp;INDEX(Series!$C$2:$C$30,MATCH(C16,Series!$B$2:$B$30,0))&amp;"-"&amp;INDEX(Part_Categories!$A$2:$A$18,MATCH(D16,Part_Categories!$B$2:$B$18,0))&amp;"-01","CHECK")</f>
        <v>GRA-V-FLT-01</v>
      </c>
      <c r="F16" s="16" t="str">
        <f aca="false">E16&amp;".jpg"</f>
        <v>GRA-V-FLT-01.jpg</v>
      </c>
      <c r="G16" s="18" t="str">
        <f aca="false">IFERROR(INDEX(Series!$F$2:$F$30,MATCH(C16,Series!$B$2:$B$30,0)),"")</f>
        <v>V 300, V 450, V 600, V 700, V 1100, V 1400</v>
      </c>
      <c r="H16" s="19"/>
      <c r="I16" s="19"/>
      <c r="J16" s="19"/>
      <c r="K16" s="19" t="s">
        <v>70</v>
      </c>
      <c r="L16" s="19"/>
      <c r="M16" s="19"/>
      <c r="N16" s="19"/>
      <c r="O16" s="18" t="str">
        <f aca="false">C16&amp;" "&amp;D16&amp;" spare part - Efforts Engineers"</f>
        <v>Grasso V Series Oil Filter and Strainer spare part - Efforts Engineers</v>
      </c>
      <c r="P16" s="16" t="str">
        <f aca="false">IFERROR("/"&amp;LOWER(B16)&amp;"/"&amp;INDEX(Series!$D$2:$D$30,MATCH(C16,Series!$B$2:$B$30,0))&amp;"/"&amp;INDEX(Part_Categories!$C$2:$C$18,MATCH(D16,Part_Categories!$B$2:$B$18,0)),"CHECK")</f>
        <v>/grasso/v-series/oil-filter-and-strainer</v>
      </c>
      <c r="Q16" s="19"/>
    </row>
    <row r="17" customFormat="false" ht="23.85" hidden="false" customHeight="false" outlineLevel="0" collapsed="false">
      <c r="A17" s="16" t="n">
        <f aca="false">ROW()-1</f>
        <v>16</v>
      </c>
      <c r="B17" s="17" t="s">
        <v>75</v>
      </c>
      <c r="C17" s="17" t="s">
        <v>90</v>
      </c>
      <c r="D17" s="17" t="s">
        <v>105</v>
      </c>
      <c r="E17" s="16" t="str">
        <f aca="false">IFERROR(INDEX(Lists!$B$2:$B$7,MATCH(B17,Lists!$A$2:$A$7,0))&amp;"-"&amp;INDEX(Series!$C$2:$C$30,MATCH(C17,Series!$B$2:$B$30,0))&amp;"-"&amp;INDEX(Part_Categories!$A$2:$A$18,MATCH(D17,Part_Categories!$B$2:$B$18,0))&amp;"-01","CHECK")</f>
        <v>GRA-V-ULD-01</v>
      </c>
      <c r="F17" s="16" t="str">
        <f aca="false">E17&amp;".jpg"</f>
        <v>GRA-V-ULD-01.jpg</v>
      </c>
      <c r="G17" s="18" t="str">
        <f aca="false">IFERROR(INDEX(Series!$F$2:$F$30,MATCH(C17,Series!$B$2:$B$30,0)),"")</f>
        <v>V 300, V 450, V 600, V 700, V 1100, V 1400</v>
      </c>
      <c r="H17" s="19"/>
      <c r="I17" s="19"/>
      <c r="J17" s="19"/>
      <c r="K17" s="19" t="s">
        <v>70</v>
      </c>
      <c r="L17" s="19"/>
      <c r="M17" s="19"/>
      <c r="N17" s="19"/>
      <c r="O17" s="18" t="str">
        <f aca="false">C17&amp;" "&amp;D17&amp;" spare part - Efforts Engineers"</f>
        <v>Grasso V Series Unloader and Capacity Control spare part - Efforts Engineers</v>
      </c>
      <c r="P17" s="16" t="str">
        <f aca="false">IFERROR("/"&amp;LOWER(B17)&amp;"/"&amp;INDEX(Series!$D$2:$D$30,MATCH(C17,Series!$B$2:$B$30,0))&amp;"/"&amp;INDEX(Part_Categories!$C$2:$C$18,MATCH(D17,Part_Categories!$B$2:$B$18,0)),"CHECK")</f>
        <v>/grasso/v-series/unloader-and-capacity-control</v>
      </c>
      <c r="Q17" s="19"/>
    </row>
    <row r="18" customFormat="false" ht="23.85" hidden="false" customHeight="false" outlineLevel="0" collapsed="false">
      <c r="A18" s="16" t="n">
        <f aca="false">ROW()-1</f>
        <v>17</v>
      </c>
      <c r="B18" s="17" t="s">
        <v>75</v>
      </c>
      <c r="C18" s="17" t="s">
        <v>90</v>
      </c>
      <c r="D18" s="17" t="s">
        <v>106</v>
      </c>
      <c r="E18" s="16" t="str">
        <f aca="false">IFERROR(INDEX(Lists!$B$2:$B$7,MATCH(B18,Lists!$A$2:$A$7,0))&amp;"-"&amp;INDEX(Series!$C$2:$C$30,MATCH(C18,Series!$B$2:$B$30,0))&amp;"-"&amp;INDEX(Part_Categories!$A$2:$A$18,MATCH(D18,Part_Categories!$B$2:$B$18,0))&amp;"-01","CHECK")</f>
        <v>GRA-V-SAF-01</v>
      </c>
      <c r="F18" s="16" t="str">
        <f aca="false">E18&amp;".jpg"</f>
        <v>GRA-V-SAF-01.jpg</v>
      </c>
      <c r="G18" s="18" t="str">
        <f aca="false">IFERROR(INDEX(Series!$F$2:$F$30,MATCH(C18,Series!$B$2:$B$30,0)),"")</f>
        <v>V 300, V 450, V 600, V 700, V 1100, V 1400</v>
      </c>
      <c r="H18" s="19"/>
      <c r="I18" s="19"/>
      <c r="J18" s="19"/>
      <c r="K18" s="19" t="s">
        <v>70</v>
      </c>
      <c r="L18" s="19"/>
      <c r="M18" s="19"/>
      <c r="N18" s="19"/>
      <c r="O18" s="18" t="str">
        <f aca="false">C18&amp;" "&amp;D18&amp;" spare part - Efforts Engineers"</f>
        <v>Grasso V Series Safety Head and Relief Valve spare part - Efforts Engineers</v>
      </c>
      <c r="P18" s="16" t="str">
        <f aca="false">IFERROR("/"&amp;LOWER(B18)&amp;"/"&amp;INDEX(Series!$D$2:$D$30,MATCH(C18,Series!$B$2:$B$30,0))&amp;"/"&amp;INDEX(Part_Categories!$C$2:$C$18,MATCH(D18,Part_Categories!$B$2:$B$18,0)),"CHECK")</f>
        <v>/grasso/v-series/safety-head-and-relief-valve</v>
      </c>
      <c r="Q18" s="19"/>
    </row>
    <row r="19" customFormat="false" ht="23.85" hidden="false" customHeight="false" outlineLevel="0" collapsed="false">
      <c r="A19" s="16" t="n">
        <f aca="false">ROW()-1</f>
        <v>18</v>
      </c>
      <c r="B19" s="17" t="s">
        <v>75</v>
      </c>
      <c r="C19" s="17" t="s">
        <v>107</v>
      </c>
      <c r="D19" s="17" t="s">
        <v>58</v>
      </c>
      <c r="E19" s="16" t="str">
        <f aca="false">IFERROR(INDEX(Lists!$B$2:$B$7,MATCH(B19,Lists!$A$2:$A$7,0))&amp;"-"&amp;INDEX(Series!$C$2:$C$30,MATCH(C19,Series!$B$2:$B$30,0))&amp;"-"&amp;INDEX(Part_Categories!$A$2:$A$18,MATCH(D19,Part_Categories!$B$2:$B$18,0))&amp;"-01","CHECK")</f>
        <v>GRA-VHP-CLN-01</v>
      </c>
      <c r="F19" s="16" t="str">
        <f aca="false">E19&amp;".jpg"</f>
        <v>GRA-VHP-CLN-01.jpg</v>
      </c>
      <c r="G19" s="18" t="str">
        <f aca="false">IFERROR(INDEX(Series!$F$2:$F$30,MATCH(C19,Series!$B$2:$B$30,0)),"")</f>
        <v>V 350 XHP, V 550 XHP, V 750 XHP, V 950 XHP, V HP (sizes to add)</v>
      </c>
      <c r="H19" s="19"/>
      <c r="I19" s="19"/>
      <c r="J19" s="19"/>
      <c r="K19" s="19" t="s">
        <v>70</v>
      </c>
      <c r="L19" s="19"/>
      <c r="M19" s="19"/>
      <c r="N19" s="19"/>
      <c r="O19" s="18" t="str">
        <f aca="false">C19&amp;" "&amp;D19&amp;" spare part - Efforts Engineers"</f>
        <v>Grasso V HP and V XHP Series Cylinder Liner spare part - Efforts Engineers</v>
      </c>
      <c r="P19" s="16" t="str">
        <f aca="false">IFERROR("/"&amp;LOWER(B19)&amp;"/"&amp;INDEX(Series!$D$2:$D$30,MATCH(C19,Series!$B$2:$B$30,0))&amp;"/"&amp;INDEX(Part_Categories!$C$2:$C$18,MATCH(D19,Part_Categories!$B$2:$B$18,0)),"CHECK")</f>
        <v>/grasso/v-hp-xhp/cylinder-liner</v>
      </c>
      <c r="Q19" s="19"/>
    </row>
    <row r="20" customFormat="false" ht="23.85" hidden="false" customHeight="false" outlineLevel="0" collapsed="false">
      <c r="A20" s="16" t="n">
        <f aca="false">ROW()-1</f>
        <v>19</v>
      </c>
      <c r="B20" s="17" t="s">
        <v>75</v>
      </c>
      <c r="C20" s="17" t="s">
        <v>107</v>
      </c>
      <c r="D20" s="17" t="s">
        <v>91</v>
      </c>
      <c r="E20" s="16" t="str">
        <f aca="false">IFERROR(INDEX(Lists!$B$2:$B$7,MATCH(B20,Lists!$A$2:$A$7,0))&amp;"-"&amp;INDEX(Series!$C$2:$C$30,MATCH(C20,Series!$B$2:$B$30,0))&amp;"-"&amp;INDEX(Part_Categories!$A$2:$A$18,MATCH(D20,Part_Categories!$B$2:$B$18,0))&amp;"-01","CHECK")</f>
        <v>GRA-VHP-PST-01</v>
      </c>
      <c r="F20" s="16" t="str">
        <f aca="false">E20&amp;".jpg"</f>
        <v>GRA-VHP-PST-01.jpg</v>
      </c>
      <c r="G20" s="18" t="str">
        <f aca="false">IFERROR(INDEX(Series!$F$2:$F$30,MATCH(C20,Series!$B$2:$B$30,0)),"")</f>
        <v>V 350 XHP, V 550 XHP, V 750 XHP, V 950 XHP, V HP (sizes to add)</v>
      </c>
      <c r="H20" s="19"/>
      <c r="I20" s="19"/>
      <c r="J20" s="19"/>
      <c r="K20" s="19" t="s">
        <v>70</v>
      </c>
      <c r="L20" s="19"/>
      <c r="M20" s="19"/>
      <c r="N20" s="19"/>
      <c r="O20" s="18" t="str">
        <f aca="false">C20&amp;" "&amp;D20&amp;" spare part - Efforts Engineers"</f>
        <v>Grasso V HP and V XHP Series Piston Assembly spare part - Efforts Engineers</v>
      </c>
      <c r="P20" s="16" t="str">
        <f aca="false">IFERROR("/"&amp;LOWER(B20)&amp;"/"&amp;INDEX(Series!$D$2:$D$30,MATCH(C20,Series!$B$2:$B$30,0))&amp;"/"&amp;INDEX(Part_Categories!$C$2:$C$18,MATCH(D20,Part_Categories!$B$2:$B$18,0)),"CHECK")</f>
        <v>/grasso/v-hp-xhp/piston-assembly</v>
      </c>
      <c r="Q20" s="19"/>
    </row>
    <row r="21" customFormat="false" ht="23.85" hidden="false" customHeight="false" outlineLevel="0" collapsed="false">
      <c r="A21" s="16" t="n">
        <f aca="false">ROW()-1</f>
        <v>20</v>
      </c>
      <c r="B21" s="17" t="s">
        <v>75</v>
      </c>
      <c r="C21" s="17" t="s">
        <v>107</v>
      </c>
      <c r="D21" s="17" t="s">
        <v>92</v>
      </c>
      <c r="E21" s="16" t="str">
        <f aca="false">IFERROR(INDEX(Lists!$B$2:$B$7,MATCH(B21,Lists!$A$2:$A$7,0))&amp;"-"&amp;INDEX(Series!$C$2:$C$30,MATCH(C21,Series!$B$2:$B$30,0))&amp;"-"&amp;INDEX(Part_Categories!$A$2:$A$18,MATCH(D21,Part_Categories!$B$2:$B$18,0))&amp;"-01","CHECK")</f>
        <v>GRA-VHP-PRG-01</v>
      </c>
      <c r="F21" s="16" t="str">
        <f aca="false">E21&amp;".jpg"</f>
        <v>GRA-VHP-PRG-01.jpg</v>
      </c>
      <c r="G21" s="18" t="str">
        <f aca="false">IFERROR(INDEX(Series!$F$2:$F$30,MATCH(C21,Series!$B$2:$B$30,0)),"")</f>
        <v>V 350 XHP, V 550 XHP, V 750 XHP, V 950 XHP, V HP (sizes to add)</v>
      </c>
      <c r="H21" s="19"/>
      <c r="I21" s="19"/>
      <c r="J21" s="19"/>
      <c r="K21" s="19" t="s">
        <v>70</v>
      </c>
      <c r="L21" s="19"/>
      <c r="M21" s="19"/>
      <c r="N21" s="19"/>
      <c r="O21" s="18" t="str">
        <f aca="false">C21&amp;" "&amp;D21&amp;" spare part - Efforts Engineers"</f>
        <v>Grasso V HP and V XHP Series Piston Ring Set spare part - Efforts Engineers</v>
      </c>
      <c r="P21" s="16" t="str">
        <f aca="false">IFERROR("/"&amp;LOWER(B21)&amp;"/"&amp;INDEX(Series!$D$2:$D$30,MATCH(C21,Series!$B$2:$B$30,0))&amp;"/"&amp;INDEX(Part_Categories!$C$2:$C$18,MATCH(D21,Part_Categories!$B$2:$B$18,0)),"CHECK")</f>
        <v>/grasso/v-hp-xhp/piston-ring-set</v>
      </c>
      <c r="Q21" s="19"/>
    </row>
    <row r="22" customFormat="false" ht="23.85" hidden="false" customHeight="false" outlineLevel="0" collapsed="false">
      <c r="A22" s="16" t="n">
        <f aca="false">ROW()-1</f>
        <v>21</v>
      </c>
      <c r="B22" s="17" t="s">
        <v>75</v>
      </c>
      <c r="C22" s="17" t="s">
        <v>107</v>
      </c>
      <c r="D22" s="17" t="s">
        <v>93</v>
      </c>
      <c r="E22" s="16" t="str">
        <f aca="false">IFERROR(INDEX(Lists!$B$2:$B$7,MATCH(B22,Lists!$A$2:$A$7,0))&amp;"-"&amp;INDEX(Series!$C$2:$C$30,MATCH(C22,Series!$B$2:$B$30,0))&amp;"-"&amp;INDEX(Part_Categories!$A$2:$A$18,MATCH(D22,Part_Categories!$B$2:$B$18,0))&amp;"-01","CHECK")</f>
        <v>GRA-VHP-CRD-01</v>
      </c>
      <c r="F22" s="16" t="str">
        <f aca="false">E22&amp;".jpg"</f>
        <v>GRA-VHP-CRD-01.jpg</v>
      </c>
      <c r="G22" s="18" t="str">
        <f aca="false">IFERROR(INDEX(Series!$F$2:$F$30,MATCH(C22,Series!$B$2:$B$30,0)),"")</f>
        <v>V 350 XHP, V 550 XHP, V 750 XHP, V 950 XHP, V HP (sizes to add)</v>
      </c>
      <c r="H22" s="19"/>
      <c r="I22" s="19"/>
      <c r="J22" s="19"/>
      <c r="K22" s="19" t="s">
        <v>70</v>
      </c>
      <c r="L22" s="19"/>
      <c r="M22" s="19"/>
      <c r="N22" s="19"/>
      <c r="O22" s="18" t="str">
        <f aca="false">C22&amp;" "&amp;D22&amp;" spare part - Efforts Engineers"</f>
        <v>Grasso V HP and V XHP Series Connecting Rod spare part - Efforts Engineers</v>
      </c>
      <c r="P22" s="16" t="str">
        <f aca="false">IFERROR("/"&amp;LOWER(B22)&amp;"/"&amp;INDEX(Series!$D$2:$D$30,MATCH(C22,Series!$B$2:$B$30,0))&amp;"/"&amp;INDEX(Part_Categories!$C$2:$C$18,MATCH(D22,Part_Categories!$B$2:$B$18,0)),"CHECK")</f>
        <v>/grasso/v-hp-xhp/connecting-rod</v>
      </c>
      <c r="Q22" s="19"/>
    </row>
    <row r="23" customFormat="false" ht="23.85" hidden="false" customHeight="false" outlineLevel="0" collapsed="false">
      <c r="A23" s="16" t="n">
        <f aca="false">ROW()-1</f>
        <v>22</v>
      </c>
      <c r="B23" s="17" t="s">
        <v>75</v>
      </c>
      <c r="C23" s="17" t="s">
        <v>107</v>
      </c>
      <c r="D23" s="17" t="s">
        <v>94</v>
      </c>
      <c r="E23" s="16" t="str">
        <f aca="false">IFERROR(INDEX(Lists!$B$2:$B$7,MATCH(B23,Lists!$A$2:$A$7,0))&amp;"-"&amp;INDEX(Series!$C$2:$C$30,MATCH(C23,Series!$B$2:$B$30,0))&amp;"-"&amp;INDEX(Part_Categories!$A$2:$A$18,MATCH(D23,Part_Categories!$B$2:$B$18,0))&amp;"-01","CHECK")</f>
        <v>GRA-VHP-CRK-01</v>
      </c>
      <c r="F23" s="16" t="str">
        <f aca="false">E23&amp;".jpg"</f>
        <v>GRA-VHP-CRK-01.jpg</v>
      </c>
      <c r="G23" s="18" t="str">
        <f aca="false">IFERROR(INDEX(Series!$F$2:$F$30,MATCH(C23,Series!$B$2:$B$30,0)),"")</f>
        <v>V 350 XHP, V 550 XHP, V 750 XHP, V 950 XHP, V HP (sizes to add)</v>
      </c>
      <c r="H23" s="19"/>
      <c r="I23" s="19"/>
      <c r="J23" s="19"/>
      <c r="K23" s="19" t="s">
        <v>70</v>
      </c>
      <c r="L23" s="19"/>
      <c r="M23" s="19"/>
      <c r="N23" s="19"/>
      <c r="O23" s="18" t="str">
        <f aca="false">C23&amp;" "&amp;D23&amp;" spare part - Efforts Engineers"</f>
        <v>Grasso V HP and V XHP Series Crankshaft spare part - Efforts Engineers</v>
      </c>
      <c r="P23" s="16" t="str">
        <f aca="false">IFERROR("/"&amp;LOWER(B23)&amp;"/"&amp;INDEX(Series!$D$2:$D$30,MATCH(C23,Series!$B$2:$B$30,0))&amp;"/"&amp;INDEX(Part_Categories!$C$2:$C$18,MATCH(D23,Part_Categories!$B$2:$B$18,0)),"CHECK")</f>
        <v>/grasso/v-hp-xhp/crankshaft</v>
      </c>
      <c r="Q23" s="19"/>
    </row>
    <row r="24" customFormat="false" ht="23.85" hidden="false" customHeight="false" outlineLevel="0" collapsed="false">
      <c r="A24" s="16" t="n">
        <f aca="false">ROW()-1</f>
        <v>23</v>
      </c>
      <c r="B24" s="17" t="s">
        <v>75</v>
      </c>
      <c r="C24" s="17" t="s">
        <v>107</v>
      </c>
      <c r="D24" s="17" t="s">
        <v>95</v>
      </c>
      <c r="E24" s="16" t="str">
        <f aca="false">IFERROR(INDEX(Lists!$B$2:$B$7,MATCH(B24,Lists!$A$2:$A$7,0))&amp;"-"&amp;INDEX(Series!$C$2:$C$30,MATCH(C24,Series!$B$2:$B$30,0))&amp;"-"&amp;INDEX(Part_Categories!$A$2:$A$18,MATCH(D24,Part_Categories!$B$2:$B$18,0))&amp;"-01","CHECK")</f>
        <v>GRA-VHP-PIN-01</v>
      </c>
      <c r="F24" s="16" t="str">
        <f aca="false">E24&amp;".jpg"</f>
        <v>GRA-VHP-PIN-01.jpg</v>
      </c>
      <c r="G24" s="18" t="str">
        <f aca="false">IFERROR(INDEX(Series!$F$2:$F$30,MATCH(C24,Series!$B$2:$B$30,0)),"")</f>
        <v>V 350 XHP, V 550 XHP, V 750 XHP, V 950 XHP, V HP (sizes to add)</v>
      </c>
      <c r="H24" s="19"/>
      <c r="I24" s="19"/>
      <c r="J24" s="19"/>
      <c r="K24" s="19" t="s">
        <v>70</v>
      </c>
      <c r="L24" s="19"/>
      <c r="M24" s="19"/>
      <c r="N24" s="19"/>
      <c r="O24" s="18" t="str">
        <f aca="false">C24&amp;" "&amp;D24&amp;" spare part - Efforts Engineers"</f>
        <v>Grasso V HP and V XHP Series Gudgeon Pin and Bush spare part - Efforts Engineers</v>
      </c>
      <c r="P24" s="16" t="str">
        <f aca="false">IFERROR("/"&amp;LOWER(B24)&amp;"/"&amp;INDEX(Series!$D$2:$D$30,MATCH(C24,Series!$B$2:$B$30,0))&amp;"/"&amp;INDEX(Part_Categories!$C$2:$C$18,MATCH(D24,Part_Categories!$B$2:$B$18,0)),"CHECK")</f>
        <v>/grasso/v-hp-xhp/gudgeon-pin-and-bush</v>
      </c>
      <c r="Q24" s="19"/>
    </row>
    <row r="25" customFormat="false" ht="23.85" hidden="false" customHeight="false" outlineLevel="0" collapsed="false">
      <c r="A25" s="16" t="n">
        <f aca="false">ROW()-1</f>
        <v>24</v>
      </c>
      <c r="B25" s="17" t="s">
        <v>75</v>
      </c>
      <c r="C25" s="17" t="s">
        <v>107</v>
      </c>
      <c r="D25" s="17" t="s">
        <v>96</v>
      </c>
      <c r="E25" s="16" t="str">
        <f aca="false">IFERROR(INDEX(Lists!$B$2:$B$7,MATCH(B25,Lists!$A$2:$A$7,0))&amp;"-"&amp;INDEX(Series!$C$2:$C$30,MATCH(C25,Series!$B$2:$B$30,0))&amp;"-"&amp;INDEX(Part_Categories!$A$2:$A$18,MATCH(D25,Part_Categories!$B$2:$B$18,0))&amp;"-01","CHECK")</f>
        <v>GRA-VHP-BRG-01</v>
      </c>
      <c r="F25" s="16" t="str">
        <f aca="false">E25&amp;".jpg"</f>
        <v>GRA-VHP-BRG-01.jpg</v>
      </c>
      <c r="G25" s="18" t="str">
        <f aca="false">IFERROR(INDEX(Series!$F$2:$F$30,MATCH(C25,Series!$B$2:$B$30,0)),"")</f>
        <v>V 350 XHP, V 550 XHP, V 750 XHP, V 950 XHP, V HP (sizes to add)</v>
      </c>
      <c r="H25" s="19"/>
      <c r="I25" s="19"/>
      <c r="J25" s="19"/>
      <c r="K25" s="19" t="s">
        <v>70</v>
      </c>
      <c r="L25" s="19"/>
      <c r="M25" s="19"/>
      <c r="N25" s="19"/>
      <c r="O25" s="18" t="str">
        <f aca="false">C25&amp;" "&amp;D25&amp;" spare part - Efforts Engineers"</f>
        <v>Grasso V HP and V XHP Series Main Bearing and Bush spare part - Efforts Engineers</v>
      </c>
      <c r="P25" s="16" t="str">
        <f aca="false">IFERROR("/"&amp;LOWER(B25)&amp;"/"&amp;INDEX(Series!$D$2:$D$30,MATCH(C25,Series!$B$2:$B$30,0))&amp;"/"&amp;INDEX(Part_Categories!$C$2:$C$18,MATCH(D25,Part_Categories!$B$2:$B$18,0)),"CHECK")</f>
        <v>/grasso/v-hp-xhp/main-bearing-and-bush</v>
      </c>
      <c r="Q25" s="19"/>
    </row>
    <row r="26" customFormat="false" ht="23.85" hidden="false" customHeight="false" outlineLevel="0" collapsed="false">
      <c r="A26" s="16" t="n">
        <f aca="false">ROW()-1</f>
        <v>25</v>
      </c>
      <c r="B26" s="17" t="s">
        <v>75</v>
      </c>
      <c r="C26" s="17" t="s">
        <v>107</v>
      </c>
      <c r="D26" s="17" t="s">
        <v>97</v>
      </c>
      <c r="E26" s="16" t="str">
        <f aca="false">IFERROR(INDEX(Lists!$B$2:$B$7,MATCH(B26,Lists!$A$2:$A$7,0))&amp;"-"&amp;INDEX(Series!$C$2:$C$30,MATCH(C26,Series!$B$2:$B$30,0))&amp;"-"&amp;INDEX(Part_Categories!$A$2:$A$18,MATCH(D26,Part_Categories!$B$2:$B$18,0))&amp;"-01","CHECK")</f>
        <v>GRA-VHP-SVP-01</v>
      </c>
      <c r="F26" s="16" t="str">
        <f aca="false">E26&amp;".jpg"</f>
        <v>GRA-VHP-SVP-01.jpg</v>
      </c>
      <c r="G26" s="18" t="str">
        <f aca="false">IFERROR(INDEX(Series!$F$2:$F$30,MATCH(C26,Series!$B$2:$B$30,0)),"")</f>
        <v>V 350 XHP, V 550 XHP, V 750 XHP, V 950 XHP, V HP (sizes to add)</v>
      </c>
      <c r="H26" s="19"/>
      <c r="I26" s="19"/>
      <c r="J26" s="19"/>
      <c r="K26" s="19" t="s">
        <v>70</v>
      </c>
      <c r="L26" s="19"/>
      <c r="M26" s="19"/>
      <c r="N26" s="19"/>
      <c r="O26" s="18" t="str">
        <f aca="false">C26&amp;" "&amp;D26&amp;" spare part - Efforts Engineers"</f>
        <v>Grasso V HP and V XHP Series Suction Valve Plate spare part - Efforts Engineers</v>
      </c>
      <c r="P26" s="16" t="str">
        <f aca="false">IFERROR("/"&amp;LOWER(B26)&amp;"/"&amp;INDEX(Series!$D$2:$D$30,MATCH(C26,Series!$B$2:$B$30,0))&amp;"/"&amp;INDEX(Part_Categories!$C$2:$C$18,MATCH(D26,Part_Categories!$B$2:$B$18,0)),"CHECK")</f>
        <v>/grasso/v-hp-xhp/suction-valve-plate</v>
      </c>
      <c r="Q26" s="19"/>
    </row>
    <row r="27" customFormat="false" ht="23.85" hidden="false" customHeight="false" outlineLevel="0" collapsed="false">
      <c r="A27" s="16" t="n">
        <f aca="false">ROW()-1</f>
        <v>26</v>
      </c>
      <c r="B27" s="17" t="s">
        <v>75</v>
      </c>
      <c r="C27" s="17" t="s">
        <v>107</v>
      </c>
      <c r="D27" s="17" t="s">
        <v>98</v>
      </c>
      <c r="E27" s="16" t="str">
        <f aca="false">IFERROR(INDEX(Lists!$B$2:$B$7,MATCH(B27,Lists!$A$2:$A$7,0))&amp;"-"&amp;INDEX(Series!$C$2:$C$30,MATCH(C27,Series!$B$2:$B$30,0))&amp;"-"&amp;INDEX(Part_Categories!$A$2:$A$18,MATCH(D27,Part_Categories!$B$2:$B$18,0))&amp;"-01","CHECK")</f>
        <v>GRA-VHP-DVA-01</v>
      </c>
      <c r="F27" s="16" t="str">
        <f aca="false">E27&amp;".jpg"</f>
        <v>GRA-VHP-DVA-01.jpg</v>
      </c>
      <c r="G27" s="18" t="str">
        <f aca="false">IFERROR(INDEX(Series!$F$2:$F$30,MATCH(C27,Series!$B$2:$B$30,0)),"")</f>
        <v>V 350 XHP, V 550 XHP, V 750 XHP, V 950 XHP, V HP (sizes to add)</v>
      </c>
      <c r="H27" s="19"/>
      <c r="I27" s="19"/>
      <c r="J27" s="19"/>
      <c r="K27" s="19" t="s">
        <v>70</v>
      </c>
      <c r="L27" s="19"/>
      <c r="M27" s="19"/>
      <c r="N27" s="19"/>
      <c r="O27" s="18" t="str">
        <f aca="false">C27&amp;" "&amp;D27&amp;" spare part - Efforts Engineers"</f>
        <v>Grasso V HP and V XHP Series Discharge Valve Assembly spare part - Efforts Engineers</v>
      </c>
      <c r="P27" s="16" t="str">
        <f aca="false">IFERROR("/"&amp;LOWER(B27)&amp;"/"&amp;INDEX(Series!$D$2:$D$30,MATCH(C27,Series!$B$2:$B$30,0))&amp;"/"&amp;INDEX(Part_Categories!$C$2:$C$18,MATCH(D27,Part_Categories!$B$2:$B$18,0)),"CHECK")</f>
        <v>/grasso/v-hp-xhp/discharge-valve-assembly</v>
      </c>
      <c r="Q27" s="19"/>
    </row>
    <row r="28" customFormat="false" ht="23.85" hidden="false" customHeight="false" outlineLevel="0" collapsed="false">
      <c r="A28" s="16" t="n">
        <f aca="false">ROW()-1</f>
        <v>27</v>
      </c>
      <c r="B28" s="17" t="s">
        <v>75</v>
      </c>
      <c r="C28" s="17" t="s">
        <v>107</v>
      </c>
      <c r="D28" s="17" t="s">
        <v>99</v>
      </c>
      <c r="E28" s="16" t="str">
        <f aca="false">IFERROR(INDEX(Lists!$B$2:$B$7,MATCH(B28,Lists!$A$2:$A$7,0))&amp;"-"&amp;INDEX(Series!$C$2:$C$30,MATCH(C28,Series!$B$2:$B$30,0))&amp;"-"&amp;INDEX(Part_Categories!$A$2:$A$18,MATCH(D28,Part_Categories!$B$2:$B$18,0))&amp;"-01","CHECK")</f>
        <v>GRA-VHP-VSP-01</v>
      </c>
      <c r="F28" s="16" t="str">
        <f aca="false">E28&amp;".jpg"</f>
        <v>GRA-VHP-VSP-01.jpg</v>
      </c>
      <c r="G28" s="18" t="str">
        <f aca="false">IFERROR(INDEX(Series!$F$2:$F$30,MATCH(C28,Series!$B$2:$B$30,0)),"")</f>
        <v>V 350 XHP, V 550 XHP, V 750 XHP, V 950 XHP, V HP (sizes to add)</v>
      </c>
      <c r="H28" s="19"/>
      <c r="I28" s="19"/>
      <c r="J28" s="19"/>
      <c r="K28" s="19" t="s">
        <v>70</v>
      </c>
      <c r="L28" s="19"/>
      <c r="M28" s="19"/>
      <c r="N28" s="19"/>
      <c r="O28" s="18" t="str">
        <f aca="false">C28&amp;" "&amp;D28&amp;" spare part - Efforts Engineers"</f>
        <v>Grasso V HP and V XHP Series Valve Spring and Cage spare part - Efforts Engineers</v>
      </c>
      <c r="P28" s="16" t="str">
        <f aca="false">IFERROR("/"&amp;LOWER(B28)&amp;"/"&amp;INDEX(Series!$D$2:$D$30,MATCH(C28,Series!$B$2:$B$30,0))&amp;"/"&amp;INDEX(Part_Categories!$C$2:$C$18,MATCH(D28,Part_Categories!$B$2:$B$18,0)),"CHECK")</f>
        <v>/grasso/v-hp-xhp/valve-spring-and-cage</v>
      </c>
      <c r="Q28" s="19"/>
    </row>
    <row r="29" customFormat="false" ht="23.85" hidden="false" customHeight="false" outlineLevel="0" collapsed="false">
      <c r="A29" s="16" t="n">
        <f aca="false">ROW()-1</f>
        <v>28</v>
      </c>
      <c r="B29" s="17" t="s">
        <v>75</v>
      </c>
      <c r="C29" s="17" t="s">
        <v>107</v>
      </c>
      <c r="D29" s="17" t="s">
        <v>100</v>
      </c>
      <c r="E29" s="16" t="str">
        <f aca="false">IFERROR(INDEX(Lists!$B$2:$B$7,MATCH(B29,Lists!$A$2:$A$7,0))&amp;"-"&amp;INDEX(Series!$C$2:$C$30,MATCH(C29,Series!$B$2:$B$30,0))&amp;"-"&amp;INDEX(Part_Categories!$A$2:$A$18,MATCH(D29,Part_Categories!$B$2:$B$18,0))&amp;"-01","CHECK")</f>
        <v>GRA-VHP-HDC-01</v>
      </c>
      <c r="F29" s="16" t="str">
        <f aca="false">E29&amp;".jpg"</f>
        <v>GRA-VHP-HDC-01.jpg</v>
      </c>
      <c r="G29" s="18" t="str">
        <f aca="false">IFERROR(INDEX(Series!$F$2:$F$30,MATCH(C29,Series!$B$2:$B$30,0)),"")</f>
        <v>V 350 XHP, V 550 XHP, V 750 XHP, V 950 XHP, V HP (sizes to add)</v>
      </c>
      <c r="H29" s="19"/>
      <c r="I29" s="19"/>
      <c r="J29" s="19"/>
      <c r="K29" s="19" t="s">
        <v>70</v>
      </c>
      <c r="L29" s="19"/>
      <c r="M29" s="19"/>
      <c r="N29" s="19"/>
      <c r="O29" s="18" t="str">
        <f aca="false">C29&amp;" "&amp;D29&amp;" spare part - Efforts Engineers"</f>
        <v>Grasso V HP and V XHP Series Cylinder Head Cover spare part - Efforts Engineers</v>
      </c>
      <c r="P29" s="16" t="str">
        <f aca="false">IFERROR("/"&amp;LOWER(B29)&amp;"/"&amp;INDEX(Series!$D$2:$D$30,MATCH(C29,Series!$B$2:$B$30,0))&amp;"/"&amp;INDEX(Part_Categories!$C$2:$C$18,MATCH(D29,Part_Categories!$B$2:$B$18,0)),"CHECK")</f>
        <v>/grasso/v-hp-xhp/cylinder-head-cover</v>
      </c>
      <c r="Q29" s="19"/>
    </row>
    <row r="30" customFormat="false" ht="23.85" hidden="false" customHeight="false" outlineLevel="0" collapsed="false">
      <c r="A30" s="16" t="n">
        <f aca="false">ROW()-1</f>
        <v>29</v>
      </c>
      <c r="B30" s="17" t="s">
        <v>75</v>
      </c>
      <c r="C30" s="17" t="s">
        <v>107</v>
      </c>
      <c r="D30" s="17" t="s">
        <v>101</v>
      </c>
      <c r="E30" s="16" t="str">
        <f aca="false">IFERROR(INDEX(Lists!$B$2:$B$7,MATCH(B30,Lists!$A$2:$A$7,0))&amp;"-"&amp;INDEX(Series!$C$2:$C$30,MATCH(C30,Series!$B$2:$B$30,0))&amp;"-"&amp;INDEX(Part_Categories!$A$2:$A$18,MATCH(D30,Part_Categories!$B$2:$B$18,0))&amp;"-01","CHECK")</f>
        <v>GRA-VHP-GSK-01</v>
      </c>
      <c r="F30" s="16" t="str">
        <f aca="false">E30&amp;".jpg"</f>
        <v>GRA-VHP-GSK-01.jpg</v>
      </c>
      <c r="G30" s="18" t="str">
        <f aca="false">IFERROR(INDEX(Series!$F$2:$F$30,MATCH(C30,Series!$B$2:$B$30,0)),"")</f>
        <v>V 350 XHP, V 550 XHP, V 750 XHP, V 950 XHP, V HP (sizes to add)</v>
      </c>
      <c r="H30" s="19"/>
      <c r="I30" s="19"/>
      <c r="J30" s="19"/>
      <c r="K30" s="19" t="s">
        <v>70</v>
      </c>
      <c r="L30" s="19"/>
      <c r="M30" s="19"/>
      <c r="N30" s="19"/>
      <c r="O30" s="18" t="str">
        <f aca="false">C30&amp;" "&amp;D30&amp;" spare part - Efforts Engineers"</f>
        <v>Grasso V HP and V XHP Series Gasket and Overhaul Kit spare part - Efforts Engineers</v>
      </c>
      <c r="P30" s="16" t="str">
        <f aca="false">IFERROR("/"&amp;LOWER(B30)&amp;"/"&amp;INDEX(Series!$D$2:$D$30,MATCH(C30,Series!$B$2:$B$30,0))&amp;"/"&amp;INDEX(Part_Categories!$C$2:$C$18,MATCH(D30,Part_Categories!$B$2:$B$18,0)),"CHECK")</f>
        <v>/grasso/v-hp-xhp/gasket-and-overhaul-kit</v>
      </c>
      <c r="Q30" s="19"/>
    </row>
    <row r="31" customFormat="false" ht="23.85" hidden="false" customHeight="false" outlineLevel="0" collapsed="false">
      <c r="A31" s="16" t="n">
        <f aca="false">ROW()-1</f>
        <v>30</v>
      </c>
      <c r="B31" s="17" t="s">
        <v>75</v>
      </c>
      <c r="C31" s="17" t="s">
        <v>107</v>
      </c>
      <c r="D31" s="17" t="s">
        <v>102</v>
      </c>
      <c r="E31" s="16" t="str">
        <f aca="false">IFERROR(INDEX(Lists!$B$2:$B$7,MATCH(B31,Lists!$A$2:$A$7,0))&amp;"-"&amp;INDEX(Series!$C$2:$C$30,MATCH(C31,Series!$B$2:$B$30,0))&amp;"-"&amp;INDEX(Part_Categories!$A$2:$A$18,MATCH(D31,Part_Categories!$B$2:$B$18,0))&amp;"-01","CHECK")</f>
        <v>GRA-VHP-OPA-01</v>
      </c>
      <c r="F31" s="16" t="str">
        <f aca="false">E31&amp;".jpg"</f>
        <v>GRA-VHP-OPA-01.jpg</v>
      </c>
      <c r="G31" s="18" t="str">
        <f aca="false">IFERROR(INDEX(Series!$F$2:$F$30,MATCH(C31,Series!$B$2:$B$30,0)),"")</f>
        <v>V 350 XHP, V 550 XHP, V 750 XHP, V 950 XHP, V HP (sizes to add)</v>
      </c>
      <c r="H31" s="19"/>
      <c r="I31" s="19"/>
      <c r="J31" s="19"/>
      <c r="K31" s="19" t="s">
        <v>70</v>
      </c>
      <c r="L31" s="19"/>
      <c r="M31" s="19"/>
      <c r="N31" s="19"/>
      <c r="O31" s="18" t="str">
        <f aca="false">C31&amp;" "&amp;D31&amp;" spare part - Efforts Engineers"</f>
        <v>Grasso V HP and V XHP Series Oil Pump Assembly spare part - Efforts Engineers</v>
      </c>
      <c r="P31" s="16" t="str">
        <f aca="false">IFERROR("/"&amp;LOWER(B31)&amp;"/"&amp;INDEX(Series!$D$2:$D$30,MATCH(C31,Series!$B$2:$B$30,0))&amp;"/"&amp;INDEX(Part_Categories!$C$2:$C$18,MATCH(D31,Part_Categories!$B$2:$B$18,0)),"CHECK")</f>
        <v>/grasso/v-hp-xhp/oil-pump-assembly</v>
      </c>
      <c r="Q31" s="19"/>
    </row>
    <row r="32" customFormat="false" ht="23.85" hidden="false" customHeight="false" outlineLevel="0" collapsed="false">
      <c r="A32" s="16" t="n">
        <f aca="false">ROW()-1</f>
        <v>31</v>
      </c>
      <c r="B32" s="17" t="s">
        <v>75</v>
      </c>
      <c r="C32" s="17" t="s">
        <v>107</v>
      </c>
      <c r="D32" s="17" t="s">
        <v>103</v>
      </c>
      <c r="E32" s="16" t="str">
        <f aca="false">IFERROR(INDEX(Lists!$B$2:$B$7,MATCH(B32,Lists!$A$2:$A$7,0))&amp;"-"&amp;INDEX(Series!$C$2:$C$30,MATCH(C32,Series!$B$2:$B$30,0))&amp;"-"&amp;INDEX(Part_Categories!$A$2:$A$18,MATCH(D32,Part_Categories!$B$2:$B$18,0))&amp;"-01","CHECK")</f>
        <v>GRA-VHP-SHS-01</v>
      </c>
      <c r="F32" s="16" t="str">
        <f aca="false">E32&amp;".jpg"</f>
        <v>GRA-VHP-SHS-01.jpg</v>
      </c>
      <c r="G32" s="18" t="str">
        <f aca="false">IFERROR(INDEX(Series!$F$2:$F$30,MATCH(C32,Series!$B$2:$B$30,0)),"")</f>
        <v>V 350 XHP, V 550 XHP, V 750 XHP, V 950 XHP, V HP (sizes to add)</v>
      </c>
      <c r="H32" s="19"/>
      <c r="I32" s="19"/>
      <c r="J32" s="19"/>
      <c r="K32" s="19" t="s">
        <v>70</v>
      </c>
      <c r="L32" s="19"/>
      <c r="M32" s="19"/>
      <c r="N32" s="19"/>
      <c r="O32" s="18" t="str">
        <f aca="false">C32&amp;" "&amp;D32&amp;" spare part - Efforts Engineers"</f>
        <v>Grasso V HP and V XHP Series Shaft Seal spare part - Efforts Engineers</v>
      </c>
      <c r="P32" s="16" t="str">
        <f aca="false">IFERROR("/"&amp;LOWER(B32)&amp;"/"&amp;INDEX(Series!$D$2:$D$30,MATCH(C32,Series!$B$2:$B$30,0))&amp;"/"&amp;INDEX(Part_Categories!$C$2:$C$18,MATCH(D32,Part_Categories!$B$2:$B$18,0)),"CHECK")</f>
        <v>/grasso/v-hp-xhp/shaft-seal</v>
      </c>
      <c r="Q32" s="19"/>
    </row>
    <row r="33" customFormat="false" ht="23.85" hidden="false" customHeight="false" outlineLevel="0" collapsed="false">
      <c r="A33" s="16" t="n">
        <f aca="false">ROW()-1</f>
        <v>32</v>
      </c>
      <c r="B33" s="17" t="s">
        <v>75</v>
      </c>
      <c r="C33" s="17" t="s">
        <v>107</v>
      </c>
      <c r="D33" s="17" t="s">
        <v>104</v>
      </c>
      <c r="E33" s="16" t="str">
        <f aca="false">IFERROR(INDEX(Lists!$B$2:$B$7,MATCH(B33,Lists!$A$2:$A$7,0))&amp;"-"&amp;INDEX(Series!$C$2:$C$30,MATCH(C33,Series!$B$2:$B$30,0))&amp;"-"&amp;INDEX(Part_Categories!$A$2:$A$18,MATCH(D33,Part_Categories!$B$2:$B$18,0))&amp;"-01","CHECK")</f>
        <v>GRA-VHP-FLT-01</v>
      </c>
      <c r="F33" s="16" t="str">
        <f aca="false">E33&amp;".jpg"</f>
        <v>GRA-VHP-FLT-01.jpg</v>
      </c>
      <c r="G33" s="18" t="str">
        <f aca="false">IFERROR(INDEX(Series!$F$2:$F$30,MATCH(C33,Series!$B$2:$B$30,0)),"")</f>
        <v>V 350 XHP, V 550 XHP, V 750 XHP, V 950 XHP, V HP (sizes to add)</v>
      </c>
      <c r="H33" s="19"/>
      <c r="I33" s="19"/>
      <c r="J33" s="19"/>
      <c r="K33" s="19" t="s">
        <v>70</v>
      </c>
      <c r="L33" s="19"/>
      <c r="M33" s="19"/>
      <c r="N33" s="19"/>
      <c r="O33" s="18" t="str">
        <f aca="false">C33&amp;" "&amp;D33&amp;" spare part - Efforts Engineers"</f>
        <v>Grasso V HP and V XHP Series Oil Filter and Strainer spare part - Efforts Engineers</v>
      </c>
      <c r="P33" s="16" t="str">
        <f aca="false">IFERROR("/"&amp;LOWER(B33)&amp;"/"&amp;INDEX(Series!$D$2:$D$30,MATCH(C33,Series!$B$2:$B$30,0))&amp;"/"&amp;INDEX(Part_Categories!$C$2:$C$18,MATCH(D33,Part_Categories!$B$2:$B$18,0)),"CHECK")</f>
        <v>/grasso/v-hp-xhp/oil-filter-and-strainer</v>
      </c>
      <c r="Q33" s="19"/>
    </row>
    <row r="34" customFormat="false" ht="23.85" hidden="false" customHeight="false" outlineLevel="0" collapsed="false">
      <c r="A34" s="16" t="n">
        <f aca="false">ROW()-1</f>
        <v>33</v>
      </c>
      <c r="B34" s="17" t="s">
        <v>75</v>
      </c>
      <c r="C34" s="17" t="s">
        <v>107</v>
      </c>
      <c r="D34" s="17" t="s">
        <v>105</v>
      </c>
      <c r="E34" s="16" t="str">
        <f aca="false">IFERROR(INDEX(Lists!$B$2:$B$7,MATCH(B34,Lists!$A$2:$A$7,0))&amp;"-"&amp;INDEX(Series!$C$2:$C$30,MATCH(C34,Series!$B$2:$B$30,0))&amp;"-"&amp;INDEX(Part_Categories!$A$2:$A$18,MATCH(D34,Part_Categories!$B$2:$B$18,0))&amp;"-01","CHECK")</f>
        <v>GRA-VHP-ULD-01</v>
      </c>
      <c r="F34" s="16" t="str">
        <f aca="false">E34&amp;".jpg"</f>
        <v>GRA-VHP-ULD-01.jpg</v>
      </c>
      <c r="G34" s="18" t="str">
        <f aca="false">IFERROR(INDEX(Series!$F$2:$F$30,MATCH(C34,Series!$B$2:$B$30,0)),"")</f>
        <v>V 350 XHP, V 550 XHP, V 750 XHP, V 950 XHP, V HP (sizes to add)</v>
      </c>
      <c r="H34" s="19"/>
      <c r="I34" s="19"/>
      <c r="J34" s="19"/>
      <c r="K34" s="19" t="s">
        <v>70</v>
      </c>
      <c r="L34" s="19"/>
      <c r="M34" s="19"/>
      <c r="N34" s="19"/>
      <c r="O34" s="18" t="str">
        <f aca="false">C34&amp;" "&amp;D34&amp;" spare part - Efforts Engineers"</f>
        <v>Grasso V HP and V XHP Series Unloader and Capacity Control spare part - Efforts Engineers</v>
      </c>
      <c r="P34" s="16" t="str">
        <f aca="false">IFERROR("/"&amp;LOWER(B34)&amp;"/"&amp;INDEX(Series!$D$2:$D$30,MATCH(C34,Series!$B$2:$B$30,0))&amp;"/"&amp;INDEX(Part_Categories!$C$2:$C$18,MATCH(D34,Part_Categories!$B$2:$B$18,0)),"CHECK")</f>
        <v>/grasso/v-hp-xhp/unloader-and-capacity-control</v>
      </c>
      <c r="Q34" s="19"/>
    </row>
    <row r="35" customFormat="false" ht="23.85" hidden="false" customHeight="false" outlineLevel="0" collapsed="false">
      <c r="A35" s="16" t="n">
        <f aca="false">ROW()-1</f>
        <v>34</v>
      </c>
      <c r="B35" s="17" t="s">
        <v>75</v>
      </c>
      <c r="C35" s="17" t="s">
        <v>107</v>
      </c>
      <c r="D35" s="17" t="s">
        <v>106</v>
      </c>
      <c r="E35" s="16" t="str">
        <f aca="false">IFERROR(INDEX(Lists!$B$2:$B$7,MATCH(B35,Lists!$A$2:$A$7,0))&amp;"-"&amp;INDEX(Series!$C$2:$C$30,MATCH(C35,Series!$B$2:$B$30,0))&amp;"-"&amp;INDEX(Part_Categories!$A$2:$A$18,MATCH(D35,Part_Categories!$B$2:$B$18,0))&amp;"-01","CHECK")</f>
        <v>GRA-VHP-SAF-01</v>
      </c>
      <c r="F35" s="16" t="str">
        <f aca="false">E35&amp;".jpg"</f>
        <v>GRA-VHP-SAF-01.jpg</v>
      </c>
      <c r="G35" s="18" t="str">
        <f aca="false">IFERROR(INDEX(Series!$F$2:$F$30,MATCH(C35,Series!$B$2:$B$30,0)),"")</f>
        <v>V 350 XHP, V 550 XHP, V 750 XHP, V 950 XHP, V HP (sizes to add)</v>
      </c>
      <c r="H35" s="19"/>
      <c r="I35" s="19"/>
      <c r="J35" s="19"/>
      <c r="K35" s="19" t="s">
        <v>70</v>
      </c>
      <c r="L35" s="19"/>
      <c r="M35" s="19"/>
      <c r="N35" s="19"/>
      <c r="O35" s="18" t="str">
        <f aca="false">C35&amp;" "&amp;D35&amp;" spare part - Efforts Engineers"</f>
        <v>Grasso V HP and V XHP Series Safety Head and Relief Valve spare part - Efforts Engineers</v>
      </c>
      <c r="P35" s="16" t="str">
        <f aca="false">IFERROR("/"&amp;LOWER(B35)&amp;"/"&amp;INDEX(Series!$D$2:$D$30,MATCH(C35,Series!$B$2:$B$30,0))&amp;"/"&amp;INDEX(Part_Categories!$C$2:$C$18,MATCH(D35,Part_Categories!$B$2:$B$18,0)),"CHECK")</f>
        <v>/grasso/v-hp-xhp/safety-head-and-relief-valve</v>
      </c>
      <c r="Q35" s="19"/>
    </row>
    <row r="36" customFormat="false" ht="23.85" hidden="false" customHeight="false" outlineLevel="0" collapsed="false">
      <c r="A36" s="16" t="n">
        <f aca="false">ROW()-1</f>
        <v>35</v>
      </c>
      <c r="B36" s="17" t="s">
        <v>75</v>
      </c>
      <c r="C36" s="17" t="s">
        <v>108</v>
      </c>
      <c r="D36" s="17" t="s">
        <v>58</v>
      </c>
      <c r="E36" s="16" t="str">
        <f aca="false">IFERROR(INDEX(Lists!$B$2:$B$7,MATCH(B36,Lists!$A$2:$A$7,0))&amp;"-"&amp;INDEX(Series!$C$2:$C$30,MATCH(C36,Series!$B$2:$B$30,0))&amp;"-"&amp;INDEX(Part_Categories!$A$2:$A$18,MATCH(D36,Part_Categories!$B$2:$B$18,0))&amp;"-01","CHECK")</f>
        <v>GRA-5HP-CLN-01</v>
      </c>
      <c r="F36" s="16" t="str">
        <f aca="false">E36&amp;".jpg"</f>
        <v>GRA-5HP-CLN-01.jpg</v>
      </c>
      <c r="G36" s="18" t="str">
        <f aca="false">IFERROR(INDEX(Series!$F$2:$F$30,MATCH(C36,Series!$B$2:$B$30,0)),"")</f>
        <v>35 HP, 45 HP, 55 HP, 65 HP</v>
      </c>
      <c r="H36" s="19"/>
      <c r="I36" s="19"/>
      <c r="J36" s="19"/>
      <c r="K36" s="19" t="s">
        <v>70</v>
      </c>
      <c r="L36" s="19"/>
      <c r="M36" s="19"/>
      <c r="N36" s="19"/>
      <c r="O36" s="18" t="str">
        <f aca="false">C36&amp;" "&amp;D36&amp;" spare part - Efforts Engineers"</f>
        <v>Grasso 5HP Series Cylinder Liner spare part - Efforts Engineers</v>
      </c>
      <c r="P36" s="16" t="str">
        <f aca="false">IFERROR("/"&amp;LOWER(B36)&amp;"/"&amp;INDEX(Series!$D$2:$D$30,MATCH(C36,Series!$B$2:$B$30,0))&amp;"/"&amp;INDEX(Part_Categories!$C$2:$C$18,MATCH(D36,Part_Categories!$B$2:$B$18,0)),"CHECK")</f>
        <v>/grasso/5hp/cylinder-liner</v>
      </c>
      <c r="Q36" s="19"/>
    </row>
    <row r="37" customFormat="false" ht="23.85" hidden="false" customHeight="false" outlineLevel="0" collapsed="false">
      <c r="A37" s="16" t="n">
        <f aca="false">ROW()-1</f>
        <v>36</v>
      </c>
      <c r="B37" s="17" t="s">
        <v>75</v>
      </c>
      <c r="C37" s="17" t="s">
        <v>108</v>
      </c>
      <c r="D37" s="17" t="s">
        <v>91</v>
      </c>
      <c r="E37" s="16" t="str">
        <f aca="false">IFERROR(INDEX(Lists!$B$2:$B$7,MATCH(B37,Lists!$A$2:$A$7,0))&amp;"-"&amp;INDEX(Series!$C$2:$C$30,MATCH(C37,Series!$B$2:$B$30,0))&amp;"-"&amp;INDEX(Part_Categories!$A$2:$A$18,MATCH(D37,Part_Categories!$B$2:$B$18,0))&amp;"-01","CHECK")</f>
        <v>GRA-5HP-PST-01</v>
      </c>
      <c r="F37" s="16" t="str">
        <f aca="false">E37&amp;".jpg"</f>
        <v>GRA-5HP-PST-01.jpg</v>
      </c>
      <c r="G37" s="18" t="str">
        <f aca="false">IFERROR(INDEX(Series!$F$2:$F$30,MATCH(C37,Series!$B$2:$B$30,0)),"")</f>
        <v>35 HP, 45 HP, 55 HP, 65 HP</v>
      </c>
      <c r="H37" s="19"/>
      <c r="I37" s="19"/>
      <c r="J37" s="19"/>
      <c r="K37" s="19" t="s">
        <v>70</v>
      </c>
      <c r="L37" s="19"/>
      <c r="M37" s="19"/>
      <c r="N37" s="19"/>
      <c r="O37" s="18" t="str">
        <f aca="false">C37&amp;" "&amp;D37&amp;" spare part - Efforts Engineers"</f>
        <v>Grasso 5HP Series Piston Assembly spare part - Efforts Engineers</v>
      </c>
      <c r="P37" s="16" t="str">
        <f aca="false">IFERROR("/"&amp;LOWER(B37)&amp;"/"&amp;INDEX(Series!$D$2:$D$30,MATCH(C37,Series!$B$2:$B$30,0))&amp;"/"&amp;INDEX(Part_Categories!$C$2:$C$18,MATCH(D37,Part_Categories!$B$2:$B$18,0)),"CHECK")</f>
        <v>/grasso/5hp/piston-assembly</v>
      </c>
      <c r="Q37" s="19"/>
    </row>
    <row r="38" customFormat="false" ht="23.85" hidden="false" customHeight="false" outlineLevel="0" collapsed="false">
      <c r="A38" s="16" t="n">
        <f aca="false">ROW()-1</f>
        <v>37</v>
      </c>
      <c r="B38" s="17" t="s">
        <v>75</v>
      </c>
      <c r="C38" s="17" t="s">
        <v>108</v>
      </c>
      <c r="D38" s="17" t="s">
        <v>92</v>
      </c>
      <c r="E38" s="16" t="str">
        <f aca="false">IFERROR(INDEX(Lists!$B$2:$B$7,MATCH(B38,Lists!$A$2:$A$7,0))&amp;"-"&amp;INDEX(Series!$C$2:$C$30,MATCH(C38,Series!$B$2:$B$30,0))&amp;"-"&amp;INDEX(Part_Categories!$A$2:$A$18,MATCH(D38,Part_Categories!$B$2:$B$18,0))&amp;"-01","CHECK")</f>
        <v>GRA-5HP-PRG-01</v>
      </c>
      <c r="F38" s="16" t="str">
        <f aca="false">E38&amp;".jpg"</f>
        <v>GRA-5HP-PRG-01.jpg</v>
      </c>
      <c r="G38" s="18" t="str">
        <f aca="false">IFERROR(INDEX(Series!$F$2:$F$30,MATCH(C38,Series!$B$2:$B$30,0)),"")</f>
        <v>35 HP, 45 HP, 55 HP, 65 HP</v>
      </c>
      <c r="H38" s="19"/>
      <c r="I38" s="19"/>
      <c r="J38" s="19"/>
      <c r="K38" s="19" t="s">
        <v>70</v>
      </c>
      <c r="L38" s="19"/>
      <c r="M38" s="19"/>
      <c r="N38" s="19"/>
      <c r="O38" s="18" t="str">
        <f aca="false">C38&amp;" "&amp;D38&amp;" spare part - Efforts Engineers"</f>
        <v>Grasso 5HP Series Piston Ring Set spare part - Efforts Engineers</v>
      </c>
      <c r="P38" s="16" t="str">
        <f aca="false">IFERROR("/"&amp;LOWER(B38)&amp;"/"&amp;INDEX(Series!$D$2:$D$30,MATCH(C38,Series!$B$2:$B$30,0))&amp;"/"&amp;INDEX(Part_Categories!$C$2:$C$18,MATCH(D38,Part_Categories!$B$2:$B$18,0)),"CHECK")</f>
        <v>/grasso/5hp/piston-ring-set</v>
      </c>
      <c r="Q38" s="19"/>
    </row>
    <row r="39" customFormat="false" ht="23.85" hidden="false" customHeight="false" outlineLevel="0" collapsed="false">
      <c r="A39" s="16" t="n">
        <f aca="false">ROW()-1</f>
        <v>38</v>
      </c>
      <c r="B39" s="17" t="s">
        <v>75</v>
      </c>
      <c r="C39" s="17" t="s">
        <v>108</v>
      </c>
      <c r="D39" s="17" t="s">
        <v>93</v>
      </c>
      <c r="E39" s="16" t="str">
        <f aca="false">IFERROR(INDEX(Lists!$B$2:$B$7,MATCH(B39,Lists!$A$2:$A$7,0))&amp;"-"&amp;INDEX(Series!$C$2:$C$30,MATCH(C39,Series!$B$2:$B$30,0))&amp;"-"&amp;INDEX(Part_Categories!$A$2:$A$18,MATCH(D39,Part_Categories!$B$2:$B$18,0))&amp;"-01","CHECK")</f>
        <v>GRA-5HP-CRD-01</v>
      </c>
      <c r="F39" s="16" t="str">
        <f aca="false">E39&amp;".jpg"</f>
        <v>GRA-5HP-CRD-01.jpg</v>
      </c>
      <c r="G39" s="18" t="str">
        <f aca="false">IFERROR(INDEX(Series!$F$2:$F$30,MATCH(C39,Series!$B$2:$B$30,0)),"")</f>
        <v>35 HP, 45 HP, 55 HP, 65 HP</v>
      </c>
      <c r="H39" s="19"/>
      <c r="I39" s="19"/>
      <c r="J39" s="19"/>
      <c r="K39" s="19" t="s">
        <v>70</v>
      </c>
      <c r="L39" s="19"/>
      <c r="M39" s="19"/>
      <c r="N39" s="19"/>
      <c r="O39" s="18" t="str">
        <f aca="false">C39&amp;" "&amp;D39&amp;" spare part - Efforts Engineers"</f>
        <v>Grasso 5HP Series Connecting Rod spare part - Efforts Engineers</v>
      </c>
      <c r="P39" s="16" t="str">
        <f aca="false">IFERROR("/"&amp;LOWER(B39)&amp;"/"&amp;INDEX(Series!$D$2:$D$30,MATCH(C39,Series!$B$2:$B$30,0))&amp;"/"&amp;INDEX(Part_Categories!$C$2:$C$18,MATCH(D39,Part_Categories!$B$2:$B$18,0)),"CHECK")</f>
        <v>/grasso/5hp/connecting-rod</v>
      </c>
      <c r="Q39" s="19"/>
    </row>
    <row r="40" customFormat="false" ht="23.85" hidden="false" customHeight="false" outlineLevel="0" collapsed="false">
      <c r="A40" s="16" t="n">
        <f aca="false">ROW()-1</f>
        <v>39</v>
      </c>
      <c r="B40" s="17" t="s">
        <v>75</v>
      </c>
      <c r="C40" s="17" t="s">
        <v>108</v>
      </c>
      <c r="D40" s="17" t="s">
        <v>94</v>
      </c>
      <c r="E40" s="16" t="str">
        <f aca="false">IFERROR(INDEX(Lists!$B$2:$B$7,MATCH(B40,Lists!$A$2:$A$7,0))&amp;"-"&amp;INDEX(Series!$C$2:$C$30,MATCH(C40,Series!$B$2:$B$30,0))&amp;"-"&amp;INDEX(Part_Categories!$A$2:$A$18,MATCH(D40,Part_Categories!$B$2:$B$18,0))&amp;"-01","CHECK")</f>
        <v>GRA-5HP-CRK-01</v>
      </c>
      <c r="F40" s="16" t="str">
        <f aca="false">E40&amp;".jpg"</f>
        <v>GRA-5HP-CRK-01.jpg</v>
      </c>
      <c r="G40" s="18" t="str">
        <f aca="false">IFERROR(INDEX(Series!$F$2:$F$30,MATCH(C40,Series!$B$2:$B$30,0)),"")</f>
        <v>35 HP, 45 HP, 55 HP, 65 HP</v>
      </c>
      <c r="H40" s="19"/>
      <c r="I40" s="19"/>
      <c r="J40" s="19"/>
      <c r="K40" s="19" t="s">
        <v>70</v>
      </c>
      <c r="L40" s="19"/>
      <c r="M40" s="19"/>
      <c r="N40" s="19"/>
      <c r="O40" s="18" t="str">
        <f aca="false">C40&amp;" "&amp;D40&amp;" spare part - Efforts Engineers"</f>
        <v>Grasso 5HP Series Crankshaft spare part - Efforts Engineers</v>
      </c>
      <c r="P40" s="16" t="str">
        <f aca="false">IFERROR("/"&amp;LOWER(B40)&amp;"/"&amp;INDEX(Series!$D$2:$D$30,MATCH(C40,Series!$B$2:$B$30,0))&amp;"/"&amp;INDEX(Part_Categories!$C$2:$C$18,MATCH(D40,Part_Categories!$B$2:$B$18,0)),"CHECK")</f>
        <v>/grasso/5hp/crankshaft</v>
      </c>
      <c r="Q40" s="19"/>
    </row>
    <row r="41" customFormat="false" ht="23.85" hidden="false" customHeight="false" outlineLevel="0" collapsed="false">
      <c r="A41" s="16" t="n">
        <f aca="false">ROW()-1</f>
        <v>40</v>
      </c>
      <c r="B41" s="17" t="s">
        <v>75</v>
      </c>
      <c r="C41" s="17" t="s">
        <v>108</v>
      </c>
      <c r="D41" s="17" t="s">
        <v>95</v>
      </c>
      <c r="E41" s="16" t="str">
        <f aca="false">IFERROR(INDEX(Lists!$B$2:$B$7,MATCH(B41,Lists!$A$2:$A$7,0))&amp;"-"&amp;INDEX(Series!$C$2:$C$30,MATCH(C41,Series!$B$2:$B$30,0))&amp;"-"&amp;INDEX(Part_Categories!$A$2:$A$18,MATCH(D41,Part_Categories!$B$2:$B$18,0))&amp;"-01","CHECK")</f>
        <v>GRA-5HP-PIN-01</v>
      </c>
      <c r="F41" s="16" t="str">
        <f aca="false">E41&amp;".jpg"</f>
        <v>GRA-5HP-PIN-01.jpg</v>
      </c>
      <c r="G41" s="18" t="str">
        <f aca="false">IFERROR(INDEX(Series!$F$2:$F$30,MATCH(C41,Series!$B$2:$B$30,0)),"")</f>
        <v>35 HP, 45 HP, 55 HP, 65 HP</v>
      </c>
      <c r="H41" s="19"/>
      <c r="I41" s="19"/>
      <c r="J41" s="19"/>
      <c r="K41" s="19" t="s">
        <v>70</v>
      </c>
      <c r="L41" s="19"/>
      <c r="M41" s="19"/>
      <c r="N41" s="19"/>
      <c r="O41" s="18" t="str">
        <f aca="false">C41&amp;" "&amp;D41&amp;" spare part - Efforts Engineers"</f>
        <v>Grasso 5HP Series Gudgeon Pin and Bush spare part - Efforts Engineers</v>
      </c>
      <c r="P41" s="16" t="str">
        <f aca="false">IFERROR("/"&amp;LOWER(B41)&amp;"/"&amp;INDEX(Series!$D$2:$D$30,MATCH(C41,Series!$B$2:$B$30,0))&amp;"/"&amp;INDEX(Part_Categories!$C$2:$C$18,MATCH(D41,Part_Categories!$B$2:$B$18,0)),"CHECK")</f>
        <v>/grasso/5hp/gudgeon-pin-and-bush</v>
      </c>
      <c r="Q41" s="19"/>
    </row>
    <row r="42" customFormat="false" ht="23.85" hidden="false" customHeight="false" outlineLevel="0" collapsed="false">
      <c r="A42" s="16" t="n">
        <f aca="false">ROW()-1</f>
        <v>41</v>
      </c>
      <c r="B42" s="17" t="s">
        <v>75</v>
      </c>
      <c r="C42" s="17" t="s">
        <v>108</v>
      </c>
      <c r="D42" s="17" t="s">
        <v>96</v>
      </c>
      <c r="E42" s="16" t="str">
        <f aca="false">IFERROR(INDEX(Lists!$B$2:$B$7,MATCH(B42,Lists!$A$2:$A$7,0))&amp;"-"&amp;INDEX(Series!$C$2:$C$30,MATCH(C42,Series!$B$2:$B$30,0))&amp;"-"&amp;INDEX(Part_Categories!$A$2:$A$18,MATCH(D42,Part_Categories!$B$2:$B$18,0))&amp;"-01","CHECK")</f>
        <v>GRA-5HP-BRG-01</v>
      </c>
      <c r="F42" s="16" t="str">
        <f aca="false">E42&amp;".jpg"</f>
        <v>GRA-5HP-BRG-01.jpg</v>
      </c>
      <c r="G42" s="18" t="str">
        <f aca="false">IFERROR(INDEX(Series!$F$2:$F$30,MATCH(C42,Series!$B$2:$B$30,0)),"")</f>
        <v>35 HP, 45 HP, 55 HP, 65 HP</v>
      </c>
      <c r="H42" s="19"/>
      <c r="I42" s="19"/>
      <c r="J42" s="19"/>
      <c r="K42" s="19" t="s">
        <v>70</v>
      </c>
      <c r="L42" s="19"/>
      <c r="M42" s="19"/>
      <c r="N42" s="19"/>
      <c r="O42" s="18" t="str">
        <f aca="false">C42&amp;" "&amp;D42&amp;" spare part - Efforts Engineers"</f>
        <v>Grasso 5HP Series Main Bearing and Bush spare part - Efforts Engineers</v>
      </c>
      <c r="P42" s="16" t="str">
        <f aca="false">IFERROR("/"&amp;LOWER(B42)&amp;"/"&amp;INDEX(Series!$D$2:$D$30,MATCH(C42,Series!$B$2:$B$30,0))&amp;"/"&amp;INDEX(Part_Categories!$C$2:$C$18,MATCH(D42,Part_Categories!$B$2:$B$18,0)),"CHECK")</f>
        <v>/grasso/5hp/main-bearing-and-bush</v>
      </c>
      <c r="Q42" s="19"/>
    </row>
    <row r="43" customFormat="false" ht="23.85" hidden="false" customHeight="false" outlineLevel="0" collapsed="false">
      <c r="A43" s="16" t="n">
        <f aca="false">ROW()-1</f>
        <v>42</v>
      </c>
      <c r="B43" s="17" t="s">
        <v>75</v>
      </c>
      <c r="C43" s="17" t="s">
        <v>108</v>
      </c>
      <c r="D43" s="17" t="s">
        <v>97</v>
      </c>
      <c r="E43" s="16" t="str">
        <f aca="false">IFERROR(INDEX(Lists!$B$2:$B$7,MATCH(B43,Lists!$A$2:$A$7,0))&amp;"-"&amp;INDEX(Series!$C$2:$C$30,MATCH(C43,Series!$B$2:$B$30,0))&amp;"-"&amp;INDEX(Part_Categories!$A$2:$A$18,MATCH(D43,Part_Categories!$B$2:$B$18,0))&amp;"-01","CHECK")</f>
        <v>GRA-5HP-SVP-01</v>
      </c>
      <c r="F43" s="16" t="str">
        <f aca="false">E43&amp;".jpg"</f>
        <v>GRA-5HP-SVP-01.jpg</v>
      </c>
      <c r="G43" s="18" t="str">
        <f aca="false">IFERROR(INDEX(Series!$F$2:$F$30,MATCH(C43,Series!$B$2:$B$30,0)),"")</f>
        <v>35 HP, 45 HP, 55 HP, 65 HP</v>
      </c>
      <c r="H43" s="19"/>
      <c r="I43" s="19"/>
      <c r="J43" s="19"/>
      <c r="K43" s="19" t="s">
        <v>70</v>
      </c>
      <c r="L43" s="19"/>
      <c r="M43" s="19"/>
      <c r="N43" s="19"/>
      <c r="O43" s="18" t="str">
        <f aca="false">C43&amp;" "&amp;D43&amp;" spare part - Efforts Engineers"</f>
        <v>Grasso 5HP Series Suction Valve Plate spare part - Efforts Engineers</v>
      </c>
      <c r="P43" s="16" t="str">
        <f aca="false">IFERROR("/"&amp;LOWER(B43)&amp;"/"&amp;INDEX(Series!$D$2:$D$30,MATCH(C43,Series!$B$2:$B$30,0))&amp;"/"&amp;INDEX(Part_Categories!$C$2:$C$18,MATCH(D43,Part_Categories!$B$2:$B$18,0)),"CHECK")</f>
        <v>/grasso/5hp/suction-valve-plate</v>
      </c>
      <c r="Q43" s="19"/>
    </row>
    <row r="44" customFormat="false" ht="23.85" hidden="false" customHeight="false" outlineLevel="0" collapsed="false">
      <c r="A44" s="16" t="n">
        <f aca="false">ROW()-1</f>
        <v>43</v>
      </c>
      <c r="B44" s="17" t="s">
        <v>75</v>
      </c>
      <c r="C44" s="17" t="s">
        <v>108</v>
      </c>
      <c r="D44" s="17" t="s">
        <v>98</v>
      </c>
      <c r="E44" s="16" t="str">
        <f aca="false">IFERROR(INDEX(Lists!$B$2:$B$7,MATCH(B44,Lists!$A$2:$A$7,0))&amp;"-"&amp;INDEX(Series!$C$2:$C$30,MATCH(C44,Series!$B$2:$B$30,0))&amp;"-"&amp;INDEX(Part_Categories!$A$2:$A$18,MATCH(D44,Part_Categories!$B$2:$B$18,0))&amp;"-01","CHECK")</f>
        <v>GRA-5HP-DVA-01</v>
      </c>
      <c r="F44" s="16" t="str">
        <f aca="false">E44&amp;".jpg"</f>
        <v>GRA-5HP-DVA-01.jpg</v>
      </c>
      <c r="G44" s="18" t="str">
        <f aca="false">IFERROR(INDEX(Series!$F$2:$F$30,MATCH(C44,Series!$B$2:$B$30,0)),"")</f>
        <v>35 HP, 45 HP, 55 HP, 65 HP</v>
      </c>
      <c r="H44" s="19"/>
      <c r="I44" s="19"/>
      <c r="J44" s="19"/>
      <c r="K44" s="19" t="s">
        <v>70</v>
      </c>
      <c r="L44" s="19"/>
      <c r="M44" s="19"/>
      <c r="N44" s="19"/>
      <c r="O44" s="18" t="str">
        <f aca="false">C44&amp;" "&amp;D44&amp;" spare part - Efforts Engineers"</f>
        <v>Grasso 5HP Series Discharge Valve Assembly spare part - Efforts Engineers</v>
      </c>
      <c r="P44" s="16" t="str">
        <f aca="false">IFERROR("/"&amp;LOWER(B44)&amp;"/"&amp;INDEX(Series!$D$2:$D$30,MATCH(C44,Series!$B$2:$B$30,0))&amp;"/"&amp;INDEX(Part_Categories!$C$2:$C$18,MATCH(D44,Part_Categories!$B$2:$B$18,0)),"CHECK")</f>
        <v>/grasso/5hp/discharge-valve-assembly</v>
      </c>
      <c r="Q44" s="19"/>
    </row>
    <row r="45" customFormat="false" ht="23.85" hidden="false" customHeight="false" outlineLevel="0" collapsed="false">
      <c r="A45" s="16" t="n">
        <f aca="false">ROW()-1</f>
        <v>44</v>
      </c>
      <c r="B45" s="17" t="s">
        <v>75</v>
      </c>
      <c r="C45" s="17" t="s">
        <v>108</v>
      </c>
      <c r="D45" s="17" t="s">
        <v>99</v>
      </c>
      <c r="E45" s="16" t="str">
        <f aca="false">IFERROR(INDEX(Lists!$B$2:$B$7,MATCH(B45,Lists!$A$2:$A$7,0))&amp;"-"&amp;INDEX(Series!$C$2:$C$30,MATCH(C45,Series!$B$2:$B$30,0))&amp;"-"&amp;INDEX(Part_Categories!$A$2:$A$18,MATCH(D45,Part_Categories!$B$2:$B$18,0))&amp;"-01","CHECK")</f>
        <v>GRA-5HP-VSP-01</v>
      </c>
      <c r="F45" s="16" t="str">
        <f aca="false">E45&amp;".jpg"</f>
        <v>GRA-5HP-VSP-01.jpg</v>
      </c>
      <c r="G45" s="18" t="str">
        <f aca="false">IFERROR(INDEX(Series!$F$2:$F$30,MATCH(C45,Series!$B$2:$B$30,0)),"")</f>
        <v>35 HP, 45 HP, 55 HP, 65 HP</v>
      </c>
      <c r="H45" s="19"/>
      <c r="I45" s="19"/>
      <c r="J45" s="19"/>
      <c r="K45" s="19" t="s">
        <v>70</v>
      </c>
      <c r="L45" s="19"/>
      <c r="M45" s="19"/>
      <c r="N45" s="19"/>
      <c r="O45" s="18" t="str">
        <f aca="false">C45&amp;" "&amp;D45&amp;" spare part - Efforts Engineers"</f>
        <v>Grasso 5HP Series Valve Spring and Cage spare part - Efforts Engineers</v>
      </c>
      <c r="P45" s="16" t="str">
        <f aca="false">IFERROR("/"&amp;LOWER(B45)&amp;"/"&amp;INDEX(Series!$D$2:$D$30,MATCH(C45,Series!$B$2:$B$30,0))&amp;"/"&amp;INDEX(Part_Categories!$C$2:$C$18,MATCH(D45,Part_Categories!$B$2:$B$18,0)),"CHECK")</f>
        <v>/grasso/5hp/valve-spring-and-cage</v>
      </c>
      <c r="Q45" s="19"/>
    </row>
    <row r="46" customFormat="false" ht="23.85" hidden="false" customHeight="false" outlineLevel="0" collapsed="false">
      <c r="A46" s="16" t="n">
        <f aca="false">ROW()-1</f>
        <v>45</v>
      </c>
      <c r="B46" s="17" t="s">
        <v>75</v>
      </c>
      <c r="C46" s="17" t="s">
        <v>108</v>
      </c>
      <c r="D46" s="17" t="s">
        <v>100</v>
      </c>
      <c r="E46" s="16" t="str">
        <f aca="false">IFERROR(INDEX(Lists!$B$2:$B$7,MATCH(B46,Lists!$A$2:$A$7,0))&amp;"-"&amp;INDEX(Series!$C$2:$C$30,MATCH(C46,Series!$B$2:$B$30,0))&amp;"-"&amp;INDEX(Part_Categories!$A$2:$A$18,MATCH(D46,Part_Categories!$B$2:$B$18,0))&amp;"-01","CHECK")</f>
        <v>GRA-5HP-HDC-01</v>
      </c>
      <c r="F46" s="16" t="str">
        <f aca="false">E46&amp;".jpg"</f>
        <v>GRA-5HP-HDC-01.jpg</v>
      </c>
      <c r="G46" s="18" t="str">
        <f aca="false">IFERROR(INDEX(Series!$F$2:$F$30,MATCH(C46,Series!$B$2:$B$30,0)),"")</f>
        <v>35 HP, 45 HP, 55 HP, 65 HP</v>
      </c>
      <c r="H46" s="19"/>
      <c r="I46" s="19"/>
      <c r="J46" s="19"/>
      <c r="K46" s="19" t="s">
        <v>70</v>
      </c>
      <c r="L46" s="19"/>
      <c r="M46" s="19"/>
      <c r="N46" s="19"/>
      <c r="O46" s="18" t="str">
        <f aca="false">C46&amp;" "&amp;D46&amp;" spare part - Efforts Engineers"</f>
        <v>Grasso 5HP Series Cylinder Head Cover spare part - Efforts Engineers</v>
      </c>
      <c r="P46" s="16" t="str">
        <f aca="false">IFERROR("/"&amp;LOWER(B46)&amp;"/"&amp;INDEX(Series!$D$2:$D$30,MATCH(C46,Series!$B$2:$B$30,0))&amp;"/"&amp;INDEX(Part_Categories!$C$2:$C$18,MATCH(D46,Part_Categories!$B$2:$B$18,0)),"CHECK")</f>
        <v>/grasso/5hp/cylinder-head-cover</v>
      </c>
      <c r="Q46" s="19"/>
    </row>
    <row r="47" customFormat="false" ht="23.85" hidden="false" customHeight="false" outlineLevel="0" collapsed="false">
      <c r="A47" s="16" t="n">
        <f aca="false">ROW()-1</f>
        <v>46</v>
      </c>
      <c r="B47" s="17" t="s">
        <v>75</v>
      </c>
      <c r="C47" s="17" t="s">
        <v>108</v>
      </c>
      <c r="D47" s="17" t="s">
        <v>101</v>
      </c>
      <c r="E47" s="16" t="str">
        <f aca="false">IFERROR(INDEX(Lists!$B$2:$B$7,MATCH(B47,Lists!$A$2:$A$7,0))&amp;"-"&amp;INDEX(Series!$C$2:$C$30,MATCH(C47,Series!$B$2:$B$30,0))&amp;"-"&amp;INDEX(Part_Categories!$A$2:$A$18,MATCH(D47,Part_Categories!$B$2:$B$18,0))&amp;"-01","CHECK")</f>
        <v>GRA-5HP-GSK-01</v>
      </c>
      <c r="F47" s="16" t="str">
        <f aca="false">E47&amp;".jpg"</f>
        <v>GRA-5HP-GSK-01.jpg</v>
      </c>
      <c r="G47" s="18" t="str">
        <f aca="false">IFERROR(INDEX(Series!$F$2:$F$30,MATCH(C47,Series!$B$2:$B$30,0)),"")</f>
        <v>35 HP, 45 HP, 55 HP, 65 HP</v>
      </c>
      <c r="H47" s="19"/>
      <c r="I47" s="19"/>
      <c r="J47" s="19"/>
      <c r="K47" s="19" t="s">
        <v>70</v>
      </c>
      <c r="L47" s="19"/>
      <c r="M47" s="19"/>
      <c r="N47" s="19"/>
      <c r="O47" s="18" t="str">
        <f aca="false">C47&amp;" "&amp;D47&amp;" spare part - Efforts Engineers"</f>
        <v>Grasso 5HP Series Gasket and Overhaul Kit spare part - Efforts Engineers</v>
      </c>
      <c r="P47" s="16" t="str">
        <f aca="false">IFERROR("/"&amp;LOWER(B47)&amp;"/"&amp;INDEX(Series!$D$2:$D$30,MATCH(C47,Series!$B$2:$B$30,0))&amp;"/"&amp;INDEX(Part_Categories!$C$2:$C$18,MATCH(D47,Part_Categories!$B$2:$B$18,0)),"CHECK")</f>
        <v>/grasso/5hp/gasket-and-overhaul-kit</v>
      </c>
      <c r="Q47" s="19"/>
    </row>
    <row r="48" customFormat="false" ht="23.85" hidden="false" customHeight="false" outlineLevel="0" collapsed="false">
      <c r="A48" s="16" t="n">
        <f aca="false">ROW()-1</f>
        <v>47</v>
      </c>
      <c r="B48" s="17" t="s">
        <v>75</v>
      </c>
      <c r="C48" s="17" t="s">
        <v>108</v>
      </c>
      <c r="D48" s="17" t="s">
        <v>102</v>
      </c>
      <c r="E48" s="16" t="str">
        <f aca="false">IFERROR(INDEX(Lists!$B$2:$B$7,MATCH(B48,Lists!$A$2:$A$7,0))&amp;"-"&amp;INDEX(Series!$C$2:$C$30,MATCH(C48,Series!$B$2:$B$30,0))&amp;"-"&amp;INDEX(Part_Categories!$A$2:$A$18,MATCH(D48,Part_Categories!$B$2:$B$18,0))&amp;"-01","CHECK")</f>
        <v>GRA-5HP-OPA-01</v>
      </c>
      <c r="F48" s="16" t="str">
        <f aca="false">E48&amp;".jpg"</f>
        <v>GRA-5HP-OPA-01.jpg</v>
      </c>
      <c r="G48" s="18" t="str">
        <f aca="false">IFERROR(INDEX(Series!$F$2:$F$30,MATCH(C48,Series!$B$2:$B$30,0)),"")</f>
        <v>35 HP, 45 HP, 55 HP, 65 HP</v>
      </c>
      <c r="H48" s="19"/>
      <c r="I48" s="19"/>
      <c r="J48" s="19"/>
      <c r="K48" s="19" t="s">
        <v>70</v>
      </c>
      <c r="L48" s="19"/>
      <c r="M48" s="19"/>
      <c r="N48" s="19"/>
      <c r="O48" s="18" t="str">
        <f aca="false">C48&amp;" "&amp;D48&amp;" spare part - Efforts Engineers"</f>
        <v>Grasso 5HP Series Oil Pump Assembly spare part - Efforts Engineers</v>
      </c>
      <c r="P48" s="16" t="str">
        <f aca="false">IFERROR("/"&amp;LOWER(B48)&amp;"/"&amp;INDEX(Series!$D$2:$D$30,MATCH(C48,Series!$B$2:$B$30,0))&amp;"/"&amp;INDEX(Part_Categories!$C$2:$C$18,MATCH(D48,Part_Categories!$B$2:$B$18,0)),"CHECK")</f>
        <v>/grasso/5hp/oil-pump-assembly</v>
      </c>
      <c r="Q48" s="19"/>
    </row>
    <row r="49" customFormat="false" ht="23.85" hidden="false" customHeight="false" outlineLevel="0" collapsed="false">
      <c r="A49" s="16" t="n">
        <f aca="false">ROW()-1</f>
        <v>48</v>
      </c>
      <c r="B49" s="17" t="s">
        <v>75</v>
      </c>
      <c r="C49" s="17" t="s">
        <v>108</v>
      </c>
      <c r="D49" s="17" t="s">
        <v>103</v>
      </c>
      <c r="E49" s="16" t="str">
        <f aca="false">IFERROR(INDEX(Lists!$B$2:$B$7,MATCH(B49,Lists!$A$2:$A$7,0))&amp;"-"&amp;INDEX(Series!$C$2:$C$30,MATCH(C49,Series!$B$2:$B$30,0))&amp;"-"&amp;INDEX(Part_Categories!$A$2:$A$18,MATCH(D49,Part_Categories!$B$2:$B$18,0))&amp;"-01","CHECK")</f>
        <v>GRA-5HP-SHS-01</v>
      </c>
      <c r="F49" s="16" t="str">
        <f aca="false">E49&amp;".jpg"</f>
        <v>GRA-5HP-SHS-01.jpg</v>
      </c>
      <c r="G49" s="18" t="str">
        <f aca="false">IFERROR(INDEX(Series!$F$2:$F$30,MATCH(C49,Series!$B$2:$B$30,0)),"")</f>
        <v>35 HP, 45 HP, 55 HP, 65 HP</v>
      </c>
      <c r="H49" s="19"/>
      <c r="I49" s="19"/>
      <c r="J49" s="19"/>
      <c r="K49" s="19" t="s">
        <v>70</v>
      </c>
      <c r="L49" s="19"/>
      <c r="M49" s="19"/>
      <c r="N49" s="19"/>
      <c r="O49" s="18" t="str">
        <f aca="false">C49&amp;" "&amp;D49&amp;" spare part - Efforts Engineers"</f>
        <v>Grasso 5HP Series Shaft Seal spare part - Efforts Engineers</v>
      </c>
      <c r="P49" s="16" t="str">
        <f aca="false">IFERROR("/"&amp;LOWER(B49)&amp;"/"&amp;INDEX(Series!$D$2:$D$30,MATCH(C49,Series!$B$2:$B$30,0))&amp;"/"&amp;INDEX(Part_Categories!$C$2:$C$18,MATCH(D49,Part_Categories!$B$2:$B$18,0)),"CHECK")</f>
        <v>/grasso/5hp/shaft-seal</v>
      </c>
      <c r="Q49" s="19"/>
    </row>
    <row r="50" customFormat="false" ht="23.85" hidden="false" customHeight="false" outlineLevel="0" collapsed="false">
      <c r="A50" s="16" t="n">
        <f aca="false">ROW()-1</f>
        <v>49</v>
      </c>
      <c r="B50" s="17" t="s">
        <v>75</v>
      </c>
      <c r="C50" s="17" t="s">
        <v>108</v>
      </c>
      <c r="D50" s="17" t="s">
        <v>104</v>
      </c>
      <c r="E50" s="16" t="str">
        <f aca="false">IFERROR(INDEX(Lists!$B$2:$B$7,MATCH(B50,Lists!$A$2:$A$7,0))&amp;"-"&amp;INDEX(Series!$C$2:$C$30,MATCH(C50,Series!$B$2:$B$30,0))&amp;"-"&amp;INDEX(Part_Categories!$A$2:$A$18,MATCH(D50,Part_Categories!$B$2:$B$18,0))&amp;"-01","CHECK")</f>
        <v>GRA-5HP-FLT-01</v>
      </c>
      <c r="F50" s="16" t="str">
        <f aca="false">E50&amp;".jpg"</f>
        <v>GRA-5HP-FLT-01.jpg</v>
      </c>
      <c r="G50" s="18" t="str">
        <f aca="false">IFERROR(INDEX(Series!$F$2:$F$30,MATCH(C50,Series!$B$2:$B$30,0)),"")</f>
        <v>35 HP, 45 HP, 55 HP, 65 HP</v>
      </c>
      <c r="H50" s="19"/>
      <c r="I50" s="19"/>
      <c r="J50" s="19"/>
      <c r="K50" s="19" t="s">
        <v>70</v>
      </c>
      <c r="L50" s="19"/>
      <c r="M50" s="19"/>
      <c r="N50" s="19"/>
      <c r="O50" s="18" t="str">
        <f aca="false">C50&amp;" "&amp;D50&amp;" spare part - Efforts Engineers"</f>
        <v>Grasso 5HP Series Oil Filter and Strainer spare part - Efforts Engineers</v>
      </c>
      <c r="P50" s="16" t="str">
        <f aca="false">IFERROR("/"&amp;LOWER(B50)&amp;"/"&amp;INDEX(Series!$D$2:$D$30,MATCH(C50,Series!$B$2:$B$30,0))&amp;"/"&amp;INDEX(Part_Categories!$C$2:$C$18,MATCH(D50,Part_Categories!$B$2:$B$18,0)),"CHECK")</f>
        <v>/grasso/5hp/oil-filter-and-strainer</v>
      </c>
      <c r="Q50" s="19"/>
    </row>
    <row r="51" customFormat="false" ht="23.85" hidden="false" customHeight="false" outlineLevel="0" collapsed="false">
      <c r="A51" s="16" t="n">
        <f aca="false">ROW()-1</f>
        <v>50</v>
      </c>
      <c r="B51" s="17" t="s">
        <v>75</v>
      </c>
      <c r="C51" s="17" t="s">
        <v>108</v>
      </c>
      <c r="D51" s="17" t="s">
        <v>105</v>
      </c>
      <c r="E51" s="16" t="str">
        <f aca="false">IFERROR(INDEX(Lists!$B$2:$B$7,MATCH(B51,Lists!$A$2:$A$7,0))&amp;"-"&amp;INDEX(Series!$C$2:$C$30,MATCH(C51,Series!$B$2:$B$30,0))&amp;"-"&amp;INDEX(Part_Categories!$A$2:$A$18,MATCH(D51,Part_Categories!$B$2:$B$18,0))&amp;"-01","CHECK")</f>
        <v>GRA-5HP-ULD-01</v>
      </c>
      <c r="F51" s="16" t="str">
        <f aca="false">E51&amp;".jpg"</f>
        <v>GRA-5HP-ULD-01.jpg</v>
      </c>
      <c r="G51" s="18" t="str">
        <f aca="false">IFERROR(INDEX(Series!$F$2:$F$30,MATCH(C51,Series!$B$2:$B$30,0)),"")</f>
        <v>35 HP, 45 HP, 55 HP, 65 HP</v>
      </c>
      <c r="H51" s="19"/>
      <c r="I51" s="19"/>
      <c r="J51" s="19"/>
      <c r="K51" s="19" t="s">
        <v>70</v>
      </c>
      <c r="L51" s="19"/>
      <c r="M51" s="19"/>
      <c r="N51" s="19"/>
      <c r="O51" s="18" t="str">
        <f aca="false">C51&amp;" "&amp;D51&amp;" spare part - Efforts Engineers"</f>
        <v>Grasso 5HP Series Unloader and Capacity Control spare part - Efforts Engineers</v>
      </c>
      <c r="P51" s="16" t="str">
        <f aca="false">IFERROR("/"&amp;LOWER(B51)&amp;"/"&amp;INDEX(Series!$D$2:$D$30,MATCH(C51,Series!$B$2:$B$30,0))&amp;"/"&amp;INDEX(Part_Categories!$C$2:$C$18,MATCH(D51,Part_Categories!$B$2:$B$18,0)),"CHECK")</f>
        <v>/grasso/5hp/unloader-and-capacity-control</v>
      </c>
      <c r="Q51" s="19"/>
    </row>
    <row r="52" customFormat="false" ht="23.85" hidden="false" customHeight="false" outlineLevel="0" collapsed="false">
      <c r="A52" s="16" t="n">
        <f aca="false">ROW()-1</f>
        <v>51</v>
      </c>
      <c r="B52" s="17" t="s">
        <v>75</v>
      </c>
      <c r="C52" s="17" t="s">
        <v>108</v>
      </c>
      <c r="D52" s="17" t="s">
        <v>106</v>
      </c>
      <c r="E52" s="16" t="str">
        <f aca="false">IFERROR(INDEX(Lists!$B$2:$B$7,MATCH(B52,Lists!$A$2:$A$7,0))&amp;"-"&amp;INDEX(Series!$C$2:$C$30,MATCH(C52,Series!$B$2:$B$30,0))&amp;"-"&amp;INDEX(Part_Categories!$A$2:$A$18,MATCH(D52,Part_Categories!$B$2:$B$18,0))&amp;"-01","CHECK")</f>
        <v>GRA-5HP-SAF-01</v>
      </c>
      <c r="F52" s="16" t="str">
        <f aca="false">E52&amp;".jpg"</f>
        <v>GRA-5HP-SAF-01.jpg</v>
      </c>
      <c r="G52" s="18" t="str">
        <f aca="false">IFERROR(INDEX(Series!$F$2:$F$30,MATCH(C52,Series!$B$2:$B$30,0)),"")</f>
        <v>35 HP, 45 HP, 55 HP, 65 HP</v>
      </c>
      <c r="H52" s="19"/>
      <c r="I52" s="19"/>
      <c r="J52" s="19"/>
      <c r="K52" s="19" t="s">
        <v>70</v>
      </c>
      <c r="L52" s="19"/>
      <c r="M52" s="19"/>
      <c r="N52" s="19"/>
      <c r="O52" s="18" t="str">
        <f aca="false">C52&amp;" "&amp;D52&amp;" spare part - Efforts Engineers"</f>
        <v>Grasso 5HP Series Safety Head and Relief Valve spare part - Efforts Engineers</v>
      </c>
      <c r="P52" s="16" t="str">
        <f aca="false">IFERROR("/"&amp;LOWER(B52)&amp;"/"&amp;INDEX(Series!$D$2:$D$30,MATCH(C52,Series!$B$2:$B$30,0))&amp;"/"&amp;INDEX(Part_Categories!$C$2:$C$18,MATCH(D52,Part_Categories!$B$2:$B$18,0)),"CHECK")</f>
        <v>/grasso/5hp/safety-head-and-relief-valve</v>
      </c>
      <c r="Q52" s="19"/>
    </row>
    <row r="53" customFormat="false" ht="23.85" hidden="false" customHeight="false" outlineLevel="0" collapsed="false">
      <c r="A53" s="16" t="n">
        <f aca="false">ROW()-1</f>
        <v>52</v>
      </c>
      <c r="B53" s="17" t="s">
        <v>75</v>
      </c>
      <c r="C53" s="17" t="s">
        <v>109</v>
      </c>
      <c r="D53" s="17" t="s">
        <v>58</v>
      </c>
      <c r="E53" s="16" t="str">
        <f aca="false">IFERROR(INDEX(Lists!$B$2:$B$7,MATCH(B53,Lists!$A$2:$A$7,0))&amp;"-"&amp;INDEX(Series!$C$2:$C$30,MATCH(C53,Series!$B$2:$B$30,0))&amp;"-"&amp;INDEX(Part_Categories!$A$2:$A$18,MATCH(D53,Part_Categories!$B$2:$B$18,0))&amp;"-01","CHECK")</f>
        <v>GRA-RC11-CLN-01</v>
      </c>
      <c r="F53" s="16" t="str">
        <f aca="false">E53&amp;".jpg"</f>
        <v>GRA-RC11-CLN-01.jpg</v>
      </c>
      <c r="G53" s="18" t="str">
        <f aca="false">IFERROR(INDEX(Series!$F$2:$F$30,MATCH(C53,Series!$B$2:$B$30,0)),"")</f>
        <v>RC 211, RC 311, RC 611, RC 6311</v>
      </c>
      <c r="H53" s="19"/>
      <c r="I53" s="19"/>
      <c r="J53" s="19"/>
      <c r="K53" s="19" t="s">
        <v>70</v>
      </c>
      <c r="L53" s="19"/>
      <c r="M53" s="19"/>
      <c r="N53" s="19"/>
      <c r="O53" s="18" t="str">
        <f aca="false">C53&amp;" "&amp;D53&amp;" spare part - Efforts Engineers"</f>
        <v>Grasso RC 11 Series Cylinder Liner spare part - Efforts Engineers</v>
      </c>
      <c r="P53" s="16" t="str">
        <f aca="false">IFERROR("/"&amp;LOWER(B53)&amp;"/"&amp;INDEX(Series!$D$2:$D$30,MATCH(C53,Series!$B$2:$B$30,0))&amp;"/"&amp;INDEX(Part_Categories!$C$2:$C$18,MATCH(D53,Part_Categories!$B$2:$B$18,0)),"CHECK")</f>
        <v>/grasso/rc-11/cylinder-liner</v>
      </c>
      <c r="Q53" s="19"/>
    </row>
    <row r="54" customFormat="false" ht="23.85" hidden="false" customHeight="false" outlineLevel="0" collapsed="false">
      <c r="A54" s="16" t="n">
        <f aca="false">ROW()-1</f>
        <v>53</v>
      </c>
      <c r="B54" s="17" t="s">
        <v>75</v>
      </c>
      <c r="C54" s="17" t="s">
        <v>109</v>
      </c>
      <c r="D54" s="17" t="s">
        <v>91</v>
      </c>
      <c r="E54" s="16" t="str">
        <f aca="false">IFERROR(INDEX(Lists!$B$2:$B$7,MATCH(B54,Lists!$A$2:$A$7,0))&amp;"-"&amp;INDEX(Series!$C$2:$C$30,MATCH(C54,Series!$B$2:$B$30,0))&amp;"-"&amp;INDEX(Part_Categories!$A$2:$A$18,MATCH(D54,Part_Categories!$B$2:$B$18,0))&amp;"-01","CHECK")</f>
        <v>GRA-RC11-PST-01</v>
      </c>
      <c r="F54" s="16" t="str">
        <f aca="false">E54&amp;".jpg"</f>
        <v>GRA-RC11-PST-01.jpg</v>
      </c>
      <c r="G54" s="18" t="str">
        <f aca="false">IFERROR(INDEX(Series!$F$2:$F$30,MATCH(C54,Series!$B$2:$B$30,0)),"")</f>
        <v>RC 211, RC 311, RC 611, RC 6311</v>
      </c>
      <c r="H54" s="19"/>
      <c r="I54" s="19"/>
      <c r="J54" s="19"/>
      <c r="K54" s="19" t="s">
        <v>70</v>
      </c>
      <c r="L54" s="19"/>
      <c r="M54" s="19"/>
      <c r="N54" s="19"/>
      <c r="O54" s="18" t="str">
        <f aca="false">C54&amp;" "&amp;D54&amp;" spare part - Efforts Engineers"</f>
        <v>Grasso RC 11 Series Piston Assembly spare part - Efforts Engineers</v>
      </c>
      <c r="P54" s="16" t="str">
        <f aca="false">IFERROR("/"&amp;LOWER(B54)&amp;"/"&amp;INDEX(Series!$D$2:$D$30,MATCH(C54,Series!$B$2:$B$30,0))&amp;"/"&amp;INDEX(Part_Categories!$C$2:$C$18,MATCH(D54,Part_Categories!$B$2:$B$18,0)),"CHECK")</f>
        <v>/grasso/rc-11/piston-assembly</v>
      </c>
      <c r="Q54" s="19"/>
    </row>
    <row r="55" customFormat="false" ht="23.85" hidden="false" customHeight="false" outlineLevel="0" collapsed="false">
      <c r="A55" s="16" t="n">
        <f aca="false">ROW()-1</f>
        <v>54</v>
      </c>
      <c r="B55" s="17" t="s">
        <v>75</v>
      </c>
      <c r="C55" s="17" t="s">
        <v>109</v>
      </c>
      <c r="D55" s="17" t="s">
        <v>92</v>
      </c>
      <c r="E55" s="16" t="str">
        <f aca="false">IFERROR(INDEX(Lists!$B$2:$B$7,MATCH(B55,Lists!$A$2:$A$7,0))&amp;"-"&amp;INDEX(Series!$C$2:$C$30,MATCH(C55,Series!$B$2:$B$30,0))&amp;"-"&amp;INDEX(Part_Categories!$A$2:$A$18,MATCH(D55,Part_Categories!$B$2:$B$18,0))&amp;"-01","CHECK")</f>
        <v>GRA-RC11-PRG-01</v>
      </c>
      <c r="F55" s="16" t="str">
        <f aca="false">E55&amp;".jpg"</f>
        <v>GRA-RC11-PRG-01.jpg</v>
      </c>
      <c r="G55" s="18" t="str">
        <f aca="false">IFERROR(INDEX(Series!$F$2:$F$30,MATCH(C55,Series!$B$2:$B$30,0)),"")</f>
        <v>RC 211, RC 311, RC 611, RC 6311</v>
      </c>
      <c r="H55" s="19"/>
      <c r="I55" s="19"/>
      <c r="J55" s="19"/>
      <c r="K55" s="19" t="s">
        <v>70</v>
      </c>
      <c r="L55" s="19"/>
      <c r="M55" s="19"/>
      <c r="N55" s="19"/>
      <c r="O55" s="18" t="str">
        <f aca="false">C55&amp;" "&amp;D55&amp;" spare part - Efforts Engineers"</f>
        <v>Grasso RC 11 Series Piston Ring Set spare part - Efforts Engineers</v>
      </c>
      <c r="P55" s="16" t="str">
        <f aca="false">IFERROR("/"&amp;LOWER(B55)&amp;"/"&amp;INDEX(Series!$D$2:$D$30,MATCH(C55,Series!$B$2:$B$30,0))&amp;"/"&amp;INDEX(Part_Categories!$C$2:$C$18,MATCH(D55,Part_Categories!$B$2:$B$18,0)),"CHECK")</f>
        <v>/grasso/rc-11/piston-ring-set</v>
      </c>
      <c r="Q55" s="19"/>
    </row>
    <row r="56" customFormat="false" ht="23.85" hidden="false" customHeight="false" outlineLevel="0" collapsed="false">
      <c r="A56" s="16" t="n">
        <f aca="false">ROW()-1</f>
        <v>55</v>
      </c>
      <c r="B56" s="17" t="s">
        <v>75</v>
      </c>
      <c r="C56" s="17" t="s">
        <v>109</v>
      </c>
      <c r="D56" s="17" t="s">
        <v>93</v>
      </c>
      <c r="E56" s="16" t="str">
        <f aca="false">IFERROR(INDEX(Lists!$B$2:$B$7,MATCH(B56,Lists!$A$2:$A$7,0))&amp;"-"&amp;INDEX(Series!$C$2:$C$30,MATCH(C56,Series!$B$2:$B$30,0))&amp;"-"&amp;INDEX(Part_Categories!$A$2:$A$18,MATCH(D56,Part_Categories!$B$2:$B$18,0))&amp;"-01","CHECK")</f>
        <v>GRA-RC11-CRD-01</v>
      </c>
      <c r="F56" s="16" t="str">
        <f aca="false">E56&amp;".jpg"</f>
        <v>GRA-RC11-CRD-01.jpg</v>
      </c>
      <c r="G56" s="18" t="str">
        <f aca="false">IFERROR(INDEX(Series!$F$2:$F$30,MATCH(C56,Series!$B$2:$B$30,0)),"")</f>
        <v>RC 211, RC 311, RC 611, RC 6311</v>
      </c>
      <c r="H56" s="19"/>
      <c r="I56" s="19"/>
      <c r="J56" s="19"/>
      <c r="K56" s="19" t="s">
        <v>70</v>
      </c>
      <c r="L56" s="19"/>
      <c r="M56" s="19"/>
      <c r="N56" s="19"/>
      <c r="O56" s="18" t="str">
        <f aca="false">C56&amp;" "&amp;D56&amp;" spare part - Efforts Engineers"</f>
        <v>Grasso RC 11 Series Connecting Rod spare part - Efforts Engineers</v>
      </c>
      <c r="P56" s="16" t="str">
        <f aca="false">IFERROR("/"&amp;LOWER(B56)&amp;"/"&amp;INDEX(Series!$D$2:$D$30,MATCH(C56,Series!$B$2:$B$30,0))&amp;"/"&amp;INDEX(Part_Categories!$C$2:$C$18,MATCH(D56,Part_Categories!$B$2:$B$18,0)),"CHECK")</f>
        <v>/grasso/rc-11/connecting-rod</v>
      </c>
      <c r="Q56" s="19"/>
    </row>
    <row r="57" customFormat="false" ht="23.85" hidden="false" customHeight="false" outlineLevel="0" collapsed="false">
      <c r="A57" s="16" t="n">
        <f aca="false">ROW()-1</f>
        <v>56</v>
      </c>
      <c r="B57" s="17" t="s">
        <v>75</v>
      </c>
      <c r="C57" s="17" t="s">
        <v>109</v>
      </c>
      <c r="D57" s="17" t="s">
        <v>94</v>
      </c>
      <c r="E57" s="16" t="str">
        <f aca="false">IFERROR(INDEX(Lists!$B$2:$B$7,MATCH(B57,Lists!$A$2:$A$7,0))&amp;"-"&amp;INDEX(Series!$C$2:$C$30,MATCH(C57,Series!$B$2:$B$30,0))&amp;"-"&amp;INDEX(Part_Categories!$A$2:$A$18,MATCH(D57,Part_Categories!$B$2:$B$18,0))&amp;"-01","CHECK")</f>
        <v>GRA-RC11-CRK-01</v>
      </c>
      <c r="F57" s="16" t="str">
        <f aca="false">E57&amp;".jpg"</f>
        <v>GRA-RC11-CRK-01.jpg</v>
      </c>
      <c r="G57" s="18" t="str">
        <f aca="false">IFERROR(INDEX(Series!$F$2:$F$30,MATCH(C57,Series!$B$2:$B$30,0)),"")</f>
        <v>RC 211, RC 311, RC 611, RC 6311</v>
      </c>
      <c r="H57" s="19"/>
      <c r="I57" s="19"/>
      <c r="J57" s="19"/>
      <c r="K57" s="19" t="s">
        <v>70</v>
      </c>
      <c r="L57" s="19"/>
      <c r="M57" s="19"/>
      <c r="N57" s="19"/>
      <c r="O57" s="18" t="str">
        <f aca="false">C57&amp;" "&amp;D57&amp;" spare part - Efforts Engineers"</f>
        <v>Grasso RC 11 Series Crankshaft spare part - Efforts Engineers</v>
      </c>
      <c r="P57" s="16" t="str">
        <f aca="false">IFERROR("/"&amp;LOWER(B57)&amp;"/"&amp;INDEX(Series!$D$2:$D$30,MATCH(C57,Series!$B$2:$B$30,0))&amp;"/"&amp;INDEX(Part_Categories!$C$2:$C$18,MATCH(D57,Part_Categories!$B$2:$B$18,0)),"CHECK")</f>
        <v>/grasso/rc-11/crankshaft</v>
      </c>
      <c r="Q57" s="19"/>
    </row>
    <row r="58" customFormat="false" ht="23.85" hidden="false" customHeight="false" outlineLevel="0" collapsed="false">
      <c r="A58" s="16" t="n">
        <f aca="false">ROW()-1</f>
        <v>57</v>
      </c>
      <c r="B58" s="17" t="s">
        <v>75</v>
      </c>
      <c r="C58" s="17" t="s">
        <v>109</v>
      </c>
      <c r="D58" s="17" t="s">
        <v>95</v>
      </c>
      <c r="E58" s="16" t="str">
        <f aca="false">IFERROR(INDEX(Lists!$B$2:$B$7,MATCH(B58,Lists!$A$2:$A$7,0))&amp;"-"&amp;INDEX(Series!$C$2:$C$30,MATCH(C58,Series!$B$2:$B$30,0))&amp;"-"&amp;INDEX(Part_Categories!$A$2:$A$18,MATCH(D58,Part_Categories!$B$2:$B$18,0))&amp;"-01","CHECK")</f>
        <v>GRA-RC11-PIN-01</v>
      </c>
      <c r="F58" s="16" t="str">
        <f aca="false">E58&amp;".jpg"</f>
        <v>GRA-RC11-PIN-01.jpg</v>
      </c>
      <c r="G58" s="18" t="str">
        <f aca="false">IFERROR(INDEX(Series!$F$2:$F$30,MATCH(C58,Series!$B$2:$B$30,0)),"")</f>
        <v>RC 211, RC 311, RC 611, RC 6311</v>
      </c>
      <c r="H58" s="19"/>
      <c r="I58" s="19"/>
      <c r="J58" s="19"/>
      <c r="K58" s="19" t="s">
        <v>70</v>
      </c>
      <c r="L58" s="19"/>
      <c r="M58" s="19"/>
      <c r="N58" s="19"/>
      <c r="O58" s="18" t="str">
        <f aca="false">C58&amp;" "&amp;D58&amp;" spare part - Efforts Engineers"</f>
        <v>Grasso RC 11 Series Gudgeon Pin and Bush spare part - Efforts Engineers</v>
      </c>
      <c r="P58" s="16" t="str">
        <f aca="false">IFERROR("/"&amp;LOWER(B58)&amp;"/"&amp;INDEX(Series!$D$2:$D$30,MATCH(C58,Series!$B$2:$B$30,0))&amp;"/"&amp;INDEX(Part_Categories!$C$2:$C$18,MATCH(D58,Part_Categories!$B$2:$B$18,0)),"CHECK")</f>
        <v>/grasso/rc-11/gudgeon-pin-and-bush</v>
      </c>
      <c r="Q58" s="19"/>
    </row>
    <row r="59" customFormat="false" ht="23.85" hidden="false" customHeight="false" outlineLevel="0" collapsed="false">
      <c r="A59" s="16" t="n">
        <f aca="false">ROW()-1</f>
        <v>58</v>
      </c>
      <c r="B59" s="17" t="s">
        <v>75</v>
      </c>
      <c r="C59" s="17" t="s">
        <v>109</v>
      </c>
      <c r="D59" s="17" t="s">
        <v>96</v>
      </c>
      <c r="E59" s="16" t="str">
        <f aca="false">IFERROR(INDEX(Lists!$B$2:$B$7,MATCH(B59,Lists!$A$2:$A$7,0))&amp;"-"&amp;INDEX(Series!$C$2:$C$30,MATCH(C59,Series!$B$2:$B$30,0))&amp;"-"&amp;INDEX(Part_Categories!$A$2:$A$18,MATCH(D59,Part_Categories!$B$2:$B$18,0))&amp;"-01","CHECK")</f>
        <v>GRA-RC11-BRG-01</v>
      </c>
      <c r="F59" s="16" t="str">
        <f aca="false">E59&amp;".jpg"</f>
        <v>GRA-RC11-BRG-01.jpg</v>
      </c>
      <c r="G59" s="18" t="str">
        <f aca="false">IFERROR(INDEX(Series!$F$2:$F$30,MATCH(C59,Series!$B$2:$B$30,0)),"")</f>
        <v>RC 211, RC 311, RC 611, RC 6311</v>
      </c>
      <c r="H59" s="19"/>
      <c r="I59" s="19"/>
      <c r="J59" s="19"/>
      <c r="K59" s="19" t="s">
        <v>70</v>
      </c>
      <c r="L59" s="19"/>
      <c r="M59" s="19"/>
      <c r="N59" s="19"/>
      <c r="O59" s="18" t="str">
        <f aca="false">C59&amp;" "&amp;D59&amp;" spare part - Efforts Engineers"</f>
        <v>Grasso RC 11 Series Main Bearing and Bush spare part - Efforts Engineers</v>
      </c>
      <c r="P59" s="16" t="str">
        <f aca="false">IFERROR("/"&amp;LOWER(B59)&amp;"/"&amp;INDEX(Series!$D$2:$D$30,MATCH(C59,Series!$B$2:$B$30,0))&amp;"/"&amp;INDEX(Part_Categories!$C$2:$C$18,MATCH(D59,Part_Categories!$B$2:$B$18,0)),"CHECK")</f>
        <v>/grasso/rc-11/main-bearing-and-bush</v>
      </c>
      <c r="Q59" s="19"/>
    </row>
    <row r="60" customFormat="false" ht="23.85" hidden="false" customHeight="false" outlineLevel="0" collapsed="false">
      <c r="A60" s="16" t="n">
        <f aca="false">ROW()-1</f>
        <v>59</v>
      </c>
      <c r="B60" s="17" t="s">
        <v>75</v>
      </c>
      <c r="C60" s="17" t="s">
        <v>109</v>
      </c>
      <c r="D60" s="17" t="s">
        <v>97</v>
      </c>
      <c r="E60" s="16" t="str">
        <f aca="false">IFERROR(INDEX(Lists!$B$2:$B$7,MATCH(B60,Lists!$A$2:$A$7,0))&amp;"-"&amp;INDEX(Series!$C$2:$C$30,MATCH(C60,Series!$B$2:$B$30,0))&amp;"-"&amp;INDEX(Part_Categories!$A$2:$A$18,MATCH(D60,Part_Categories!$B$2:$B$18,0))&amp;"-01","CHECK")</f>
        <v>GRA-RC11-SVP-01</v>
      </c>
      <c r="F60" s="16" t="str">
        <f aca="false">E60&amp;".jpg"</f>
        <v>GRA-RC11-SVP-01.jpg</v>
      </c>
      <c r="G60" s="18" t="str">
        <f aca="false">IFERROR(INDEX(Series!$F$2:$F$30,MATCH(C60,Series!$B$2:$B$30,0)),"")</f>
        <v>RC 211, RC 311, RC 611, RC 6311</v>
      </c>
      <c r="H60" s="19"/>
      <c r="I60" s="19"/>
      <c r="J60" s="19"/>
      <c r="K60" s="19" t="s">
        <v>70</v>
      </c>
      <c r="L60" s="19"/>
      <c r="M60" s="19"/>
      <c r="N60" s="19"/>
      <c r="O60" s="18" t="str">
        <f aca="false">C60&amp;" "&amp;D60&amp;" spare part - Efforts Engineers"</f>
        <v>Grasso RC 11 Series Suction Valve Plate spare part - Efforts Engineers</v>
      </c>
      <c r="P60" s="16" t="str">
        <f aca="false">IFERROR("/"&amp;LOWER(B60)&amp;"/"&amp;INDEX(Series!$D$2:$D$30,MATCH(C60,Series!$B$2:$B$30,0))&amp;"/"&amp;INDEX(Part_Categories!$C$2:$C$18,MATCH(D60,Part_Categories!$B$2:$B$18,0)),"CHECK")</f>
        <v>/grasso/rc-11/suction-valve-plate</v>
      </c>
      <c r="Q60" s="19"/>
    </row>
    <row r="61" customFormat="false" ht="23.85" hidden="false" customHeight="false" outlineLevel="0" collapsed="false">
      <c r="A61" s="16" t="n">
        <f aca="false">ROW()-1</f>
        <v>60</v>
      </c>
      <c r="B61" s="17" t="s">
        <v>75</v>
      </c>
      <c r="C61" s="17" t="s">
        <v>109</v>
      </c>
      <c r="D61" s="17" t="s">
        <v>98</v>
      </c>
      <c r="E61" s="16" t="str">
        <f aca="false">IFERROR(INDEX(Lists!$B$2:$B$7,MATCH(B61,Lists!$A$2:$A$7,0))&amp;"-"&amp;INDEX(Series!$C$2:$C$30,MATCH(C61,Series!$B$2:$B$30,0))&amp;"-"&amp;INDEX(Part_Categories!$A$2:$A$18,MATCH(D61,Part_Categories!$B$2:$B$18,0))&amp;"-01","CHECK")</f>
        <v>GRA-RC11-DVA-01</v>
      </c>
      <c r="F61" s="16" t="str">
        <f aca="false">E61&amp;".jpg"</f>
        <v>GRA-RC11-DVA-01.jpg</v>
      </c>
      <c r="G61" s="18" t="str">
        <f aca="false">IFERROR(INDEX(Series!$F$2:$F$30,MATCH(C61,Series!$B$2:$B$30,0)),"")</f>
        <v>RC 211, RC 311, RC 611, RC 6311</v>
      </c>
      <c r="H61" s="19"/>
      <c r="I61" s="19"/>
      <c r="J61" s="19"/>
      <c r="K61" s="19" t="s">
        <v>70</v>
      </c>
      <c r="L61" s="19"/>
      <c r="M61" s="19"/>
      <c r="N61" s="19"/>
      <c r="O61" s="18" t="str">
        <f aca="false">C61&amp;" "&amp;D61&amp;" spare part - Efforts Engineers"</f>
        <v>Grasso RC 11 Series Discharge Valve Assembly spare part - Efforts Engineers</v>
      </c>
      <c r="P61" s="16" t="str">
        <f aca="false">IFERROR("/"&amp;LOWER(B61)&amp;"/"&amp;INDEX(Series!$D$2:$D$30,MATCH(C61,Series!$B$2:$B$30,0))&amp;"/"&amp;INDEX(Part_Categories!$C$2:$C$18,MATCH(D61,Part_Categories!$B$2:$B$18,0)),"CHECK")</f>
        <v>/grasso/rc-11/discharge-valve-assembly</v>
      </c>
      <c r="Q61" s="19"/>
    </row>
    <row r="62" customFormat="false" ht="23.85" hidden="false" customHeight="false" outlineLevel="0" collapsed="false">
      <c r="A62" s="16" t="n">
        <f aca="false">ROW()-1</f>
        <v>61</v>
      </c>
      <c r="B62" s="17" t="s">
        <v>75</v>
      </c>
      <c r="C62" s="17" t="s">
        <v>109</v>
      </c>
      <c r="D62" s="17" t="s">
        <v>99</v>
      </c>
      <c r="E62" s="16" t="str">
        <f aca="false">IFERROR(INDEX(Lists!$B$2:$B$7,MATCH(B62,Lists!$A$2:$A$7,0))&amp;"-"&amp;INDEX(Series!$C$2:$C$30,MATCH(C62,Series!$B$2:$B$30,0))&amp;"-"&amp;INDEX(Part_Categories!$A$2:$A$18,MATCH(D62,Part_Categories!$B$2:$B$18,0))&amp;"-01","CHECK")</f>
        <v>GRA-RC11-VSP-01</v>
      </c>
      <c r="F62" s="16" t="str">
        <f aca="false">E62&amp;".jpg"</f>
        <v>GRA-RC11-VSP-01.jpg</v>
      </c>
      <c r="G62" s="18" t="str">
        <f aca="false">IFERROR(INDEX(Series!$F$2:$F$30,MATCH(C62,Series!$B$2:$B$30,0)),"")</f>
        <v>RC 211, RC 311, RC 611, RC 6311</v>
      </c>
      <c r="H62" s="19"/>
      <c r="I62" s="19"/>
      <c r="J62" s="19"/>
      <c r="K62" s="19" t="s">
        <v>70</v>
      </c>
      <c r="L62" s="19"/>
      <c r="M62" s="19"/>
      <c r="N62" s="19"/>
      <c r="O62" s="18" t="str">
        <f aca="false">C62&amp;" "&amp;D62&amp;" spare part - Efforts Engineers"</f>
        <v>Grasso RC 11 Series Valve Spring and Cage spare part - Efforts Engineers</v>
      </c>
      <c r="P62" s="16" t="str">
        <f aca="false">IFERROR("/"&amp;LOWER(B62)&amp;"/"&amp;INDEX(Series!$D$2:$D$30,MATCH(C62,Series!$B$2:$B$30,0))&amp;"/"&amp;INDEX(Part_Categories!$C$2:$C$18,MATCH(D62,Part_Categories!$B$2:$B$18,0)),"CHECK")</f>
        <v>/grasso/rc-11/valve-spring-and-cage</v>
      </c>
      <c r="Q62" s="19"/>
    </row>
    <row r="63" customFormat="false" ht="23.85" hidden="false" customHeight="false" outlineLevel="0" collapsed="false">
      <c r="A63" s="16" t="n">
        <f aca="false">ROW()-1</f>
        <v>62</v>
      </c>
      <c r="B63" s="17" t="s">
        <v>75</v>
      </c>
      <c r="C63" s="17" t="s">
        <v>109</v>
      </c>
      <c r="D63" s="17" t="s">
        <v>100</v>
      </c>
      <c r="E63" s="16" t="str">
        <f aca="false">IFERROR(INDEX(Lists!$B$2:$B$7,MATCH(B63,Lists!$A$2:$A$7,0))&amp;"-"&amp;INDEX(Series!$C$2:$C$30,MATCH(C63,Series!$B$2:$B$30,0))&amp;"-"&amp;INDEX(Part_Categories!$A$2:$A$18,MATCH(D63,Part_Categories!$B$2:$B$18,0))&amp;"-01","CHECK")</f>
        <v>GRA-RC11-HDC-01</v>
      </c>
      <c r="F63" s="16" t="str">
        <f aca="false">E63&amp;".jpg"</f>
        <v>GRA-RC11-HDC-01.jpg</v>
      </c>
      <c r="G63" s="18" t="str">
        <f aca="false">IFERROR(INDEX(Series!$F$2:$F$30,MATCH(C63,Series!$B$2:$B$30,0)),"")</f>
        <v>RC 211, RC 311, RC 611, RC 6311</v>
      </c>
      <c r="H63" s="19"/>
      <c r="I63" s="19"/>
      <c r="J63" s="19"/>
      <c r="K63" s="19" t="s">
        <v>70</v>
      </c>
      <c r="L63" s="19"/>
      <c r="M63" s="19"/>
      <c r="N63" s="19"/>
      <c r="O63" s="18" t="str">
        <f aca="false">C63&amp;" "&amp;D63&amp;" spare part - Efforts Engineers"</f>
        <v>Grasso RC 11 Series Cylinder Head Cover spare part - Efforts Engineers</v>
      </c>
      <c r="P63" s="16" t="str">
        <f aca="false">IFERROR("/"&amp;LOWER(B63)&amp;"/"&amp;INDEX(Series!$D$2:$D$30,MATCH(C63,Series!$B$2:$B$30,0))&amp;"/"&amp;INDEX(Part_Categories!$C$2:$C$18,MATCH(D63,Part_Categories!$B$2:$B$18,0)),"CHECK")</f>
        <v>/grasso/rc-11/cylinder-head-cover</v>
      </c>
      <c r="Q63" s="19"/>
    </row>
    <row r="64" customFormat="false" ht="23.85" hidden="false" customHeight="false" outlineLevel="0" collapsed="false">
      <c r="A64" s="16" t="n">
        <f aca="false">ROW()-1</f>
        <v>63</v>
      </c>
      <c r="B64" s="17" t="s">
        <v>75</v>
      </c>
      <c r="C64" s="17" t="s">
        <v>109</v>
      </c>
      <c r="D64" s="17" t="s">
        <v>101</v>
      </c>
      <c r="E64" s="16" t="str">
        <f aca="false">IFERROR(INDEX(Lists!$B$2:$B$7,MATCH(B64,Lists!$A$2:$A$7,0))&amp;"-"&amp;INDEX(Series!$C$2:$C$30,MATCH(C64,Series!$B$2:$B$30,0))&amp;"-"&amp;INDEX(Part_Categories!$A$2:$A$18,MATCH(D64,Part_Categories!$B$2:$B$18,0))&amp;"-01","CHECK")</f>
        <v>GRA-RC11-GSK-01</v>
      </c>
      <c r="F64" s="16" t="str">
        <f aca="false">E64&amp;".jpg"</f>
        <v>GRA-RC11-GSK-01.jpg</v>
      </c>
      <c r="G64" s="18" t="str">
        <f aca="false">IFERROR(INDEX(Series!$F$2:$F$30,MATCH(C64,Series!$B$2:$B$30,0)),"")</f>
        <v>RC 211, RC 311, RC 611, RC 6311</v>
      </c>
      <c r="H64" s="19"/>
      <c r="I64" s="19"/>
      <c r="J64" s="19"/>
      <c r="K64" s="19" t="s">
        <v>70</v>
      </c>
      <c r="L64" s="19"/>
      <c r="M64" s="19"/>
      <c r="N64" s="19"/>
      <c r="O64" s="18" t="str">
        <f aca="false">C64&amp;" "&amp;D64&amp;" spare part - Efforts Engineers"</f>
        <v>Grasso RC 11 Series Gasket and Overhaul Kit spare part - Efforts Engineers</v>
      </c>
      <c r="P64" s="16" t="str">
        <f aca="false">IFERROR("/"&amp;LOWER(B64)&amp;"/"&amp;INDEX(Series!$D$2:$D$30,MATCH(C64,Series!$B$2:$B$30,0))&amp;"/"&amp;INDEX(Part_Categories!$C$2:$C$18,MATCH(D64,Part_Categories!$B$2:$B$18,0)),"CHECK")</f>
        <v>/grasso/rc-11/gasket-and-overhaul-kit</v>
      </c>
      <c r="Q64" s="19"/>
    </row>
    <row r="65" customFormat="false" ht="23.85" hidden="false" customHeight="false" outlineLevel="0" collapsed="false">
      <c r="A65" s="16" t="n">
        <f aca="false">ROW()-1</f>
        <v>64</v>
      </c>
      <c r="B65" s="17" t="s">
        <v>75</v>
      </c>
      <c r="C65" s="17" t="s">
        <v>109</v>
      </c>
      <c r="D65" s="17" t="s">
        <v>102</v>
      </c>
      <c r="E65" s="16" t="str">
        <f aca="false">IFERROR(INDEX(Lists!$B$2:$B$7,MATCH(B65,Lists!$A$2:$A$7,0))&amp;"-"&amp;INDEX(Series!$C$2:$C$30,MATCH(C65,Series!$B$2:$B$30,0))&amp;"-"&amp;INDEX(Part_Categories!$A$2:$A$18,MATCH(D65,Part_Categories!$B$2:$B$18,0))&amp;"-01","CHECK")</f>
        <v>GRA-RC11-OPA-01</v>
      </c>
      <c r="F65" s="16" t="str">
        <f aca="false">E65&amp;".jpg"</f>
        <v>GRA-RC11-OPA-01.jpg</v>
      </c>
      <c r="G65" s="18" t="str">
        <f aca="false">IFERROR(INDEX(Series!$F$2:$F$30,MATCH(C65,Series!$B$2:$B$30,0)),"")</f>
        <v>RC 211, RC 311, RC 611, RC 6311</v>
      </c>
      <c r="H65" s="19"/>
      <c r="I65" s="19"/>
      <c r="J65" s="19"/>
      <c r="K65" s="19" t="s">
        <v>70</v>
      </c>
      <c r="L65" s="19"/>
      <c r="M65" s="19"/>
      <c r="N65" s="19"/>
      <c r="O65" s="18" t="str">
        <f aca="false">C65&amp;" "&amp;D65&amp;" spare part - Efforts Engineers"</f>
        <v>Grasso RC 11 Series Oil Pump Assembly spare part - Efforts Engineers</v>
      </c>
      <c r="P65" s="16" t="str">
        <f aca="false">IFERROR("/"&amp;LOWER(B65)&amp;"/"&amp;INDEX(Series!$D$2:$D$30,MATCH(C65,Series!$B$2:$B$30,0))&amp;"/"&amp;INDEX(Part_Categories!$C$2:$C$18,MATCH(D65,Part_Categories!$B$2:$B$18,0)),"CHECK")</f>
        <v>/grasso/rc-11/oil-pump-assembly</v>
      </c>
      <c r="Q65" s="19"/>
    </row>
    <row r="66" customFormat="false" ht="23.85" hidden="false" customHeight="false" outlineLevel="0" collapsed="false">
      <c r="A66" s="16" t="n">
        <f aca="false">ROW()-1</f>
        <v>65</v>
      </c>
      <c r="B66" s="17" t="s">
        <v>75</v>
      </c>
      <c r="C66" s="17" t="s">
        <v>109</v>
      </c>
      <c r="D66" s="17" t="s">
        <v>103</v>
      </c>
      <c r="E66" s="16" t="str">
        <f aca="false">IFERROR(INDEX(Lists!$B$2:$B$7,MATCH(B66,Lists!$A$2:$A$7,0))&amp;"-"&amp;INDEX(Series!$C$2:$C$30,MATCH(C66,Series!$B$2:$B$30,0))&amp;"-"&amp;INDEX(Part_Categories!$A$2:$A$18,MATCH(D66,Part_Categories!$B$2:$B$18,0))&amp;"-01","CHECK")</f>
        <v>GRA-RC11-SHS-01</v>
      </c>
      <c r="F66" s="16" t="str">
        <f aca="false">E66&amp;".jpg"</f>
        <v>GRA-RC11-SHS-01.jpg</v>
      </c>
      <c r="G66" s="18" t="str">
        <f aca="false">IFERROR(INDEX(Series!$F$2:$F$30,MATCH(C66,Series!$B$2:$B$30,0)),"")</f>
        <v>RC 211, RC 311, RC 611, RC 6311</v>
      </c>
      <c r="H66" s="19"/>
      <c r="I66" s="19"/>
      <c r="J66" s="19"/>
      <c r="K66" s="19" t="s">
        <v>70</v>
      </c>
      <c r="L66" s="19"/>
      <c r="M66" s="19"/>
      <c r="N66" s="19"/>
      <c r="O66" s="18" t="str">
        <f aca="false">C66&amp;" "&amp;D66&amp;" spare part - Efforts Engineers"</f>
        <v>Grasso RC 11 Series Shaft Seal spare part - Efforts Engineers</v>
      </c>
      <c r="P66" s="16" t="str">
        <f aca="false">IFERROR("/"&amp;LOWER(B66)&amp;"/"&amp;INDEX(Series!$D$2:$D$30,MATCH(C66,Series!$B$2:$B$30,0))&amp;"/"&amp;INDEX(Part_Categories!$C$2:$C$18,MATCH(D66,Part_Categories!$B$2:$B$18,0)),"CHECK")</f>
        <v>/grasso/rc-11/shaft-seal</v>
      </c>
      <c r="Q66" s="19"/>
    </row>
    <row r="67" customFormat="false" ht="23.85" hidden="false" customHeight="false" outlineLevel="0" collapsed="false">
      <c r="A67" s="16" t="n">
        <f aca="false">ROW()-1</f>
        <v>66</v>
      </c>
      <c r="B67" s="17" t="s">
        <v>75</v>
      </c>
      <c r="C67" s="17" t="s">
        <v>109</v>
      </c>
      <c r="D67" s="17" t="s">
        <v>104</v>
      </c>
      <c r="E67" s="16" t="str">
        <f aca="false">IFERROR(INDEX(Lists!$B$2:$B$7,MATCH(B67,Lists!$A$2:$A$7,0))&amp;"-"&amp;INDEX(Series!$C$2:$C$30,MATCH(C67,Series!$B$2:$B$30,0))&amp;"-"&amp;INDEX(Part_Categories!$A$2:$A$18,MATCH(D67,Part_Categories!$B$2:$B$18,0))&amp;"-01","CHECK")</f>
        <v>GRA-RC11-FLT-01</v>
      </c>
      <c r="F67" s="16" t="str">
        <f aca="false">E67&amp;".jpg"</f>
        <v>GRA-RC11-FLT-01.jpg</v>
      </c>
      <c r="G67" s="18" t="str">
        <f aca="false">IFERROR(INDEX(Series!$F$2:$F$30,MATCH(C67,Series!$B$2:$B$30,0)),"")</f>
        <v>RC 211, RC 311, RC 611, RC 6311</v>
      </c>
      <c r="H67" s="19"/>
      <c r="I67" s="19"/>
      <c r="J67" s="19"/>
      <c r="K67" s="19" t="s">
        <v>70</v>
      </c>
      <c r="L67" s="19"/>
      <c r="M67" s="19"/>
      <c r="N67" s="19"/>
      <c r="O67" s="18" t="str">
        <f aca="false">C67&amp;" "&amp;D67&amp;" spare part - Efforts Engineers"</f>
        <v>Grasso RC 11 Series Oil Filter and Strainer spare part - Efforts Engineers</v>
      </c>
      <c r="P67" s="16" t="str">
        <f aca="false">IFERROR("/"&amp;LOWER(B67)&amp;"/"&amp;INDEX(Series!$D$2:$D$30,MATCH(C67,Series!$B$2:$B$30,0))&amp;"/"&amp;INDEX(Part_Categories!$C$2:$C$18,MATCH(D67,Part_Categories!$B$2:$B$18,0)),"CHECK")</f>
        <v>/grasso/rc-11/oil-filter-and-strainer</v>
      </c>
      <c r="Q67" s="19"/>
    </row>
    <row r="68" customFormat="false" ht="23.85" hidden="false" customHeight="false" outlineLevel="0" collapsed="false">
      <c r="A68" s="16" t="n">
        <f aca="false">ROW()-1</f>
        <v>67</v>
      </c>
      <c r="B68" s="17" t="s">
        <v>75</v>
      </c>
      <c r="C68" s="17" t="s">
        <v>109</v>
      </c>
      <c r="D68" s="17" t="s">
        <v>105</v>
      </c>
      <c r="E68" s="16" t="str">
        <f aca="false">IFERROR(INDEX(Lists!$B$2:$B$7,MATCH(B68,Lists!$A$2:$A$7,0))&amp;"-"&amp;INDEX(Series!$C$2:$C$30,MATCH(C68,Series!$B$2:$B$30,0))&amp;"-"&amp;INDEX(Part_Categories!$A$2:$A$18,MATCH(D68,Part_Categories!$B$2:$B$18,0))&amp;"-01","CHECK")</f>
        <v>GRA-RC11-ULD-01</v>
      </c>
      <c r="F68" s="16" t="str">
        <f aca="false">E68&amp;".jpg"</f>
        <v>GRA-RC11-ULD-01.jpg</v>
      </c>
      <c r="G68" s="18" t="str">
        <f aca="false">IFERROR(INDEX(Series!$F$2:$F$30,MATCH(C68,Series!$B$2:$B$30,0)),"")</f>
        <v>RC 211, RC 311, RC 611, RC 6311</v>
      </c>
      <c r="H68" s="19"/>
      <c r="I68" s="19"/>
      <c r="J68" s="19"/>
      <c r="K68" s="19" t="s">
        <v>70</v>
      </c>
      <c r="L68" s="19"/>
      <c r="M68" s="19"/>
      <c r="N68" s="19"/>
      <c r="O68" s="18" t="str">
        <f aca="false">C68&amp;" "&amp;D68&amp;" spare part - Efforts Engineers"</f>
        <v>Grasso RC 11 Series Unloader and Capacity Control spare part - Efforts Engineers</v>
      </c>
      <c r="P68" s="16" t="str">
        <f aca="false">IFERROR("/"&amp;LOWER(B68)&amp;"/"&amp;INDEX(Series!$D$2:$D$30,MATCH(C68,Series!$B$2:$B$30,0))&amp;"/"&amp;INDEX(Part_Categories!$C$2:$C$18,MATCH(D68,Part_Categories!$B$2:$B$18,0)),"CHECK")</f>
        <v>/grasso/rc-11/unloader-and-capacity-control</v>
      </c>
      <c r="Q68" s="19"/>
    </row>
    <row r="69" customFormat="false" ht="23.85" hidden="false" customHeight="false" outlineLevel="0" collapsed="false">
      <c r="A69" s="16" t="n">
        <f aca="false">ROW()-1</f>
        <v>68</v>
      </c>
      <c r="B69" s="17" t="s">
        <v>75</v>
      </c>
      <c r="C69" s="17" t="s">
        <v>109</v>
      </c>
      <c r="D69" s="17" t="s">
        <v>106</v>
      </c>
      <c r="E69" s="16" t="str">
        <f aca="false">IFERROR(INDEX(Lists!$B$2:$B$7,MATCH(B69,Lists!$A$2:$A$7,0))&amp;"-"&amp;INDEX(Series!$C$2:$C$30,MATCH(C69,Series!$B$2:$B$30,0))&amp;"-"&amp;INDEX(Part_Categories!$A$2:$A$18,MATCH(D69,Part_Categories!$B$2:$B$18,0))&amp;"-01","CHECK")</f>
        <v>GRA-RC11-SAF-01</v>
      </c>
      <c r="F69" s="16" t="str">
        <f aca="false">E69&amp;".jpg"</f>
        <v>GRA-RC11-SAF-01.jpg</v>
      </c>
      <c r="G69" s="18" t="str">
        <f aca="false">IFERROR(INDEX(Series!$F$2:$F$30,MATCH(C69,Series!$B$2:$B$30,0)),"")</f>
        <v>RC 211, RC 311, RC 611, RC 6311</v>
      </c>
      <c r="H69" s="19"/>
      <c r="I69" s="19"/>
      <c r="J69" s="19"/>
      <c r="K69" s="19" t="s">
        <v>70</v>
      </c>
      <c r="L69" s="19"/>
      <c r="M69" s="19"/>
      <c r="N69" s="19"/>
      <c r="O69" s="18" t="str">
        <f aca="false">C69&amp;" "&amp;D69&amp;" spare part - Efforts Engineers"</f>
        <v>Grasso RC 11 Series Safety Head and Relief Valve spare part - Efforts Engineers</v>
      </c>
      <c r="P69" s="16" t="str">
        <f aca="false">IFERROR("/"&amp;LOWER(B69)&amp;"/"&amp;INDEX(Series!$D$2:$D$30,MATCH(C69,Series!$B$2:$B$30,0))&amp;"/"&amp;INDEX(Part_Categories!$C$2:$C$18,MATCH(D69,Part_Categories!$B$2:$B$18,0)),"CHECK")</f>
        <v>/grasso/rc-11/safety-head-and-relief-valve</v>
      </c>
      <c r="Q69" s="19"/>
    </row>
    <row r="70" customFormat="false" ht="46.25" hidden="false" customHeight="false" outlineLevel="0" collapsed="false">
      <c r="A70" s="16" t="n">
        <f aca="false">ROW()-1</f>
        <v>69</v>
      </c>
      <c r="B70" s="17" t="s">
        <v>75</v>
      </c>
      <c r="C70" s="17" t="s">
        <v>110</v>
      </c>
      <c r="D70" s="17" t="s">
        <v>58</v>
      </c>
      <c r="E70" s="16" t="str">
        <f aca="false">IFERROR(INDEX(Lists!$B$2:$B$7,MATCH(B70,Lists!$A$2:$A$7,0))&amp;"-"&amp;INDEX(Series!$C$2:$C$30,MATCH(C70,Series!$B$2:$B$30,0))&amp;"-"&amp;INDEX(Part_Categories!$A$2:$A$18,MATCH(D70,Part_Categories!$B$2:$B$18,0))&amp;"-01","CHECK")</f>
        <v>GRA-RC12-CLN-01</v>
      </c>
      <c r="F70" s="16" t="str">
        <f aca="false">E70&amp;".jpg"</f>
        <v>GRA-RC12-CLN-01.jpg</v>
      </c>
      <c r="G70" s="18" t="str">
        <f aca="false">IFERROR(INDEX(Series!$F$2:$F$30,MATCH(C70,Series!$B$2:$B$30,0)),"")</f>
        <v>RC 212, RC 312, RC 412, RC 512, RC 612, RC 912, RC 1212, RC 2112, RC 3112, RC 4212, RC 5112, RC 6312, RC 7212, RC 8412, RC 9312, RC 10212</v>
      </c>
      <c r="H70" s="19"/>
      <c r="I70" s="19"/>
      <c r="J70" s="19"/>
      <c r="K70" s="19" t="s">
        <v>70</v>
      </c>
      <c r="L70" s="19"/>
      <c r="M70" s="19"/>
      <c r="N70" s="19"/>
      <c r="O70" s="18" t="str">
        <f aca="false">C70&amp;" "&amp;D70&amp;" spare part - Efforts Engineers"</f>
        <v>Grasso RC 12 Series Cylinder Liner spare part - Efforts Engineers</v>
      </c>
      <c r="P70" s="16" t="str">
        <f aca="false">IFERROR("/"&amp;LOWER(B70)&amp;"/"&amp;INDEX(Series!$D$2:$D$30,MATCH(C70,Series!$B$2:$B$30,0))&amp;"/"&amp;INDEX(Part_Categories!$C$2:$C$18,MATCH(D70,Part_Categories!$B$2:$B$18,0)),"CHECK")</f>
        <v>/grasso/rc-12/cylinder-liner</v>
      </c>
      <c r="Q70" s="19"/>
    </row>
    <row r="71" customFormat="false" ht="46.25" hidden="false" customHeight="false" outlineLevel="0" collapsed="false">
      <c r="A71" s="16" t="n">
        <f aca="false">ROW()-1</f>
        <v>70</v>
      </c>
      <c r="B71" s="17" t="s">
        <v>75</v>
      </c>
      <c r="C71" s="17" t="s">
        <v>110</v>
      </c>
      <c r="D71" s="17" t="s">
        <v>91</v>
      </c>
      <c r="E71" s="16" t="str">
        <f aca="false">IFERROR(INDEX(Lists!$B$2:$B$7,MATCH(B71,Lists!$A$2:$A$7,0))&amp;"-"&amp;INDEX(Series!$C$2:$C$30,MATCH(C71,Series!$B$2:$B$30,0))&amp;"-"&amp;INDEX(Part_Categories!$A$2:$A$18,MATCH(D71,Part_Categories!$B$2:$B$18,0))&amp;"-01","CHECK")</f>
        <v>GRA-RC12-PST-01</v>
      </c>
      <c r="F71" s="16" t="str">
        <f aca="false">E71&amp;".jpg"</f>
        <v>GRA-RC12-PST-01.jpg</v>
      </c>
      <c r="G71" s="18" t="str">
        <f aca="false">IFERROR(INDEX(Series!$F$2:$F$30,MATCH(C71,Series!$B$2:$B$30,0)),"")</f>
        <v>RC 212, RC 312, RC 412, RC 512, RC 612, RC 912, RC 1212, RC 2112, RC 3112, RC 4212, RC 5112, RC 6312, RC 7212, RC 8412, RC 9312, RC 10212</v>
      </c>
      <c r="H71" s="19"/>
      <c r="I71" s="19"/>
      <c r="J71" s="19"/>
      <c r="K71" s="19" t="s">
        <v>70</v>
      </c>
      <c r="L71" s="19"/>
      <c r="M71" s="19"/>
      <c r="N71" s="19"/>
      <c r="O71" s="18" t="str">
        <f aca="false">C71&amp;" "&amp;D71&amp;" spare part - Efforts Engineers"</f>
        <v>Grasso RC 12 Series Piston Assembly spare part - Efforts Engineers</v>
      </c>
      <c r="P71" s="16" t="str">
        <f aca="false">IFERROR("/"&amp;LOWER(B71)&amp;"/"&amp;INDEX(Series!$D$2:$D$30,MATCH(C71,Series!$B$2:$B$30,0))&amp;"/"&amp;INDEX(Part_Categories!$C$2:$C$18,MATCH(D71,Part_Categories!$B$2:$B$18,0)),"CHECK")</f>
        <v>/grasso/rc-12/piston-assembly</v>
      </c>
      <c r="Q71" s="19"/>
    </row>
    <row r="72" customFormat="false" ht="46.25" hidden="false" customHeight="false" outlineLevel="0" collapsed="false">
      <c r="A72" s="16" t="n">
        <f aca="false">ROW()-1</f>
        <v>71</v>
      </c>
      <c r="B72" s="17" t="s">
        <v>75</v>
      </c>
      <c r="C72" s="17" t="s">
        <v>110</v>
      </c>
      <c r="D72" s="17" t="s">
        <v>92</v>
      </c>
      <c r="E72" s="16" t="str">
        <f aca="false">IFERROR(INDEX(Lists!$B$2:$B$7,MATCH(B72,Lists!$A$2:$A$7,0))&amp;"-"&amp;INDEX(Series!$C$2:$C$30,MATCH(C72,Series!$B$2:$B$30,0))&amp;"-"&amp;INDEX(Part_Categories!$A$2:$A$18,MATCH(D72,Part_Categories!$B$2:$B$18,0))&amp;"-01","CHECK")</f>
        <v>GRA-RC12-PRG-01</v>
      </c>
      <c r="F72" s="16" t="str">
        <f aca="false">E72&amp;".jpg"</f>
        <v>GRA-RC12-PRG-01.jpg</v>
      </c>
      <c r="G72" s="18" t="str">
        <f aca="false">IFERROR(INDEX(Series!$F$2:$F$30,MATCH(C72,Series!$B$2:$B$30,0)),"")</f>
        <v>RC 212, RC 312, RC 412, RC 512, RC 612, RC 912, RC 1212, RC 2112, RC 3112, RC 4212, RC 5112, RC 6312, RC 7212, RC 8412, RC 9312, RC 10212</v>
      </c>
      <c r="H72" s="19"/>
      <c r="I72" s="19"/>
      <c r="J72" s="19"/>
      <c r="K72" s="19" t="s">
        <v>70</v>
      </c>
      <c r="L72" s="19"/>
      <c r="M72" s="19"/>
      <c r="N72" s="19"/>
      <c r="O72" s="18" t="str">
        <f aca="false">C72&amp;" "&amp;D72&amp;" spare part - Efforts Engineers"</f>
        <v>Grasso RC 12 Series Piston Ring Set spare part - Efforts Engineers</v>
      </c>
      <c r="P72" s="16" t="str">
        <f aca="false">IFERROR("/"&amp;LOWER(B72)&amp;"/"&amp;INDEX(Series!$D$2:$D$30,MATCH(C72,Series!$B$2:$B$30,0))&amp;"/"&amp;INDEX(Part_Categories!$C$2:$C$18,MATCH(D72,Part_Categories!$B$2:$B$18,0)),"CHECK")</f>
        <v>/grasso/rc-12/piston-ring-set</v>
      </c>
      <c r="Q72" s="19"/>
    </row>
    <row r="73" customFormat="false" ht="46.25" hidden="false" customHeight="false" outlineLevel="0" collapsed="false">
      <c r="A73" s="16" t="n">
        <f aca="false">ROW()-1</f>
        <v>72</v>
      </c>
      <c r="B73" s="17" t="s">
        <v>75</v>
      </c>
      <c r="C73" s="17" t="s">
        <v>110</v>
      </c>
      <c r="D73" s="17" t="s">
        <v>93</v>
      </c>
      <c r="E73" s="16" t="str">
        <f aca="false">IFERROR(INDEX(Lists!$B$2:$B$7,MATCH(B73,Lists!$A$2:$A$7,0))&amp;"-"&amp;INDEX(Series!$C$2:$C$30,MATCH(C73,Series!$B$2:$B$30,0))&amp;"-"&amp;INDEX(Part_Categories!$A$2:$A$18,MATCH(D73,Part_Categories!$B$2:$B$18,0))&amp;"-01","CHECK")</f>
        <v>GRA-RC12-CRD-01</v>
      </c>
      <c r="F73" s="16" t="str">
        <f aca="false">E73&amp;".jpg"</f>
        <v>GRA-RC12-CRD-01.jpg</v>
      </c>
      <c r="G73" s="18" t="str">
        <f aca="false">IFERROR(INDEX(Series!$F$2:$F$30,MATCH(C73,Series!$B$2:$B$30,0)),"")</f>
        <v>RC 212, RC 312, RC 412, RC 512, RC 612, RC 912, RC 1212, RC 2112, RC 3112, RC 4212, RC 5112, RC 6312, RC 7212, RC 8412, RC 9312, RC 10212</v>
      </c>
      <c r="H73" s="19"/>
      <c r="I73" s="19"/>
      <c r="J73" s="19"/>
      <c r="K73" s="19" t="s">
        <v>70</v>
      </c>
      <c r="L73" s="19"/>
      <c r="M73" s="19"/>
      <c r="N73" s="19"/>
      <c r="O73" s="18" t="str">
        <f aca="false">C73&amp;" "&amp;D73&amp;" spare part - Efforts Engineers"</f>
        <v>Grasso RC 12 Series Connecting Rod spare part - Efforts Engineers</v>
      </c>
      <c r="P73" s="16" t="str">
        <f aca="false">IFERROR("/"&amp;LOWER(B73)&amp;"/"&amp;INDEX(Series!$D$2:$D$30,MATCH(C73,Series!$B$2:$B$30,0))&amp;"/"&amp;INDEX(Part_Categories!$C$2:$C$18,MATCH(D73,Part_Categories!$B$2:$B$18,0)),"CHECK")</f>
        <v>/grasso/rc-12/connecting-rod</v>
      </c>
      <c r="Q73" s="19"/>
    </row>
    <row r="74" customFormat="false" ht="46.25" hidden="false" customHeight="false" outlineLevel="0" collapsed="false">
      <c r="A74" s="16" t="n">
        <f aca="false">ROW()-1</f>
        <v>73</v>
      </c>
      <c r="B74" s="17" t="s">
        <v>75</v>
      </c>
      <c r="C74" s="17" t="s">
        <v>110</v>
      </c>
      <c r="D74" s="17" t="s">
        <v>94</v>
      </c>
      <c r="E74" s="16" t="str">
        <f aca="false">IFERROR(INDEX(Lists!$B$2:$B$7,MATCH(B74,Lists!$A$2:$A$7,0))&amp;"-"&amp;INDEX(Series!$C$2:$C$30,MATCH(C74,Series!$B$2:$B$30,0))&amp;"-"&amp;INDEX(Part_Categories!$A$2:$A$18,MATCH(D74,Part_Categories!$B$2:$B$18,0))&amp;"-01","CHECK")</f>
        <v>GRA-RC12-CRK-01</v>
      </c>
      <c r="F74" s="16" t="str">
        <f aca="false">E74&amp;".jpg"</f>
        <v>GRA-RC12-CRK-01.jpg</v>
      </c>
      <c r="G74" s="18" t="str">
        <f aca="false">IFERROR(INDEX(Series!$F$2:$F$30,MATCH(C74,Series!$B$2:$B$30,0)),"")</f>
        <v>RC 212, RC 312, RC 412, RC 512, RC 612, RC 912, RC 1212, RC 2112, RC 3112, RC 4212, RC 5112, RC 6312, RC 7212, RC 8412, RC 9312, RC 10212</v>
      </c>
      <c r="H74" s="19"/>
      <c r="I74" s="19"/>
      <c r="J74" s="19"/>
      <c r="K74" s="19" t="s">
        <v>70</v>
      </c>
      <c r="L74" s="19"/>
      <c r="M74" s="19"/>
      <c r="N74" s="19"/>
      <c r="O74" s="18" t="str">
        <f aca="false">C74&amp;" "&amp;D74&amp;" spare part - Efforts Engineers"</f>
        <v>Grasso RC 12 Series Crankshaft spare part - Efforts Engineers</v>
      </c>
      <c r="P74" s="16" t="str">
        <f aca="false">IFERROR("/"&amp;LOWER(B74)&amp;"/"&amp;INDEX(Series!$D$2:$D$30,MATCH(C74,Series!$B$2:$B$30,0))&amp;"/"&amp;INDEX(Part_Categories!$C$2:$C$18,MATCH(D74,Part_Categories!$B$2:$B$18,0)),"CHECK")</f>
        <v>/grasso/rc-12/crankshaft</v>
      </c>
      <c r="Q74" s="19"/>
    </row>
    <row r="75" customFormat="false" ht="46.25" hidden="false" customHeight="false" outlineLevel="0" collapsed="false">
      <c r="A75" s="16" t="n">
        <f aca="false">ROW()-1</f>
        <v>74</v>
      </c>
      <c r="B75" s="17" t="s">
        <v>75</v>
      </c>
      <c r="C75" s="17" t="s">
        <v>110</v>
      </c>
      <c r="D75" s="17" t="s">
        <v>95</v>
      </c>
      <c r="E75" s="16" t="str">
        <f aca="false">IFERROR(INDEX(Lists!$B$2:$B$7,MATCH(B75,Lists!$A$2:$A$7,0))&amp;"-"&amp;INDEX(Series!$C$2:$C$30,MATCH(C75,Series!$B$2:$B$30,0))&amp;"-"&amp;INDEX(Part_Categories!$A$2:$A$18,MATCH(D75,Part_Categories!$B$2:$B$18,0))&amp;"-01","CHECK")</f>
        <v>GRA-RC12-PIN-01</v>
      </c>
      <c r="F75" s="16" t="str">
        <f aca="false">E75&amp;".jpg"</f>
        <v>GRA-RC12-PIN-01.jpg</v>
      </c>
      <c r="G75" s="18" t="str">
        <f aca="false">IFERROR(INDEX(Series!$F$2:$F$30,MATCH(C75,Series!$B$2:$B$30,0)),"")</f>
        <v>RC 212, RC 312, RC 412, RC 512, RC 612, RC 912, RC 1212, RC 2112, RC 3112, RC 4212, RC 5112, RC 6312, RC 7212, RC 8412, RC 9312, RC 10212</v>
      </c>
      <c r="H75" s="19"/>
      <c r="I75" s="19"/>
      <c r="J75" s="19"/>
      <c r="K75" s="19" t="s">
        <v>70</v>
      </c>
      <c r="L75" s="19"/>
      <c r="M75" s="19"/>
      <c r="N75" s="19"/>
      <c r="O75" s="18" t="str">
        <f aca="false">C75&amp;" "&amp;D75&amp;" spare part - Efforts Engineers"</f>
        <v>Grasso RC 12 Series Gudgeon Pin and Bush spare part - Efforts Engineers</v>
      </c>
      <c r="P75" s="16" t="str">
        <f aca="false">IFERROR("/"&amp;LOWER(B75)&amp;"/"&amp;INDEX(Series!$D$2:$D$30,MATCH(C75,Series!$B$2:$B$30,0))&amp;"/"&amp;INDEX(Part_Categories!$C$2:$C$18,MATCH(D75,Part_Categories!$B$2:$B$18,0)),"CHECK")</f>
        <v>/grasso/rc-12/gudgeon-pin-and-bush</v>
      </c>
      <c r="Q75" s="19"/>
    </row>
    <row r="76" customFormat="false" ht="46.25" hidden="false" customHeight="false" outlineLevel="0" collapsed="false">
      <c r="A76" s="16" t="n">
        <f aca="false">ROW()-1</f>
        <v>75</v>
      </c>
      <c r="B76" s="17" t="s">
        <v>75</v>
      </c>
      <c r="C76" s="17" t="s">
        <v>110</v>
      </c>
      <c r="D76" s="17" t="s">
        <v>96</v>
      </c>
      <c r="E76" s="16" t="str">
        <f aca="false">IFERROR(INDEX(Lists!$B$2:$B$7,MATCH(B76,Lists!$A$2:$A$7,0))&amp;"-"&amp;INDEX(Series!$C$2:$C$30,MATCH(C76,Series!$B$2:$B$30,0))&amp;"-"&amp;INDEX(Part_Categories!$A$2:$A$18,MATCH(D76,Part_Categories!$B$2:$B$18,0))&amp;"-01","CHECK")</f>
        <v>GRA-RC12-BRG-01</v>
      </c>
      <c r="F76" s="16" t="str">
        <f aca="false">E76&amp;".jpg"</f>
        <v>GRA-RC12-BRG-01.jpg</v>
      </c>
      <c r="G76" s="18" t="str">
        <f aca="false">IFERROR(INDEX(Series!$F$2:$F$30,MATCH(C76,Series!$B$2:$B$30,0)),"")</f>
        <v>RC 212, RC 312, RC 412, RC 512, RC 612, RC 912, RC 1212, RC 2112, RC 3112, RC 4212, RC 5112, RC 6312, RC 7212, RC 8412, RC 9312, RC 10212</v>
      </c>
      <c r="H76" s="19"/>
      <c r="I76" s="19"/>
      <c r="J76" s="19"/>
      <c r="K76" s="19" t="s">
        <v>70</v>
      </c>
      <c r="L76" s="19"/>
      <c r="M76" s="19"/>
      <c r="N76" s="19"/>
      <c r="O76" s="18" t="str">
        <f aca="false">C76&amp;" "&amp;D76&amp;" spare part - Efforts Engineers"</f>
        <v>Grasso RC 12 Series Main Bearing and Bush spare part - Efforts Engineers</v>
      </c>
      <c r="P76" s="16" t="str">
        <f aca="false">IFERROR("/"&amp;LOWER(B76)&amp;"/"&amp;INDEX(Series!$D$2:$D$30,MATCH(C76,Series!$B$2:$B$30,0))&amp;"/"&amp;INDEX(Part_Categories!$C$2:$C$18,MATCH(D76,Part_Categories!$B$2:$B$18,0)),"CHECK")</f>
        <v>/grasso/rc-12/main-bearing-and-bush</v>
      </c>
      <c r="Q76" s="19"/>
    </row>
    <row r="77" customFormat="false" ht="46.25" hidden="false" customHeight="false" outlineLevel="0" collapsed="false">
      <c r="A77" s="16" t="n">
        <f aca="false">ROW()-1</f>
        <v>76</v>
      </c>
      <c r="B77" s="17" t="s">
        <v>75</v>
      </c>
      <c r="C77" s="17" t="s">
        <v>110</v>
      </c>
      <c r="D77" s="17" t="s">
        <v>97</v>
      </c>
      <c r="E77" s="16" t="str">
        <f aca="false">IFERROR(INDEX(Lists!$B$2:$B$7,MATCH(B77,Lists!$A$2:$A$7,0))&amp;"-"&amp;INDEX(Series!$C$2:$C$30,MATCH(C77,Series!$B$2:$B$30,0))&amp;"-"&amp;INDEX(Part_Categories!$A$2:$A$18,MATCH(D77,Part_Categories!$B$2:$B$18,0))&amp;"-01","CHECK")</f>
        <v>GRA-RC12-SVP-01</v>
      </c>
      <c r="F77" s="16" t="str">
        <f aca="false">E77&amp;".jpg"</f>
        <v>GRA-RC12-SVP-01.jpg</v>
      </c>
      <c r="G77" s="18" t="str">
        <f aca="false">IFERROR(INDEX(Series!$F$2:$F$30,MATCH(C77,Series!$B$2:$B$30,0)),"")</f>
        <v>RC 212, RC 312, RC 412, RC 512, RC 612, RC 912, RC 1212, RC 2112, RC 3112, RC 4212, RC 5112, RC 6312, RC 7212, RC 8412, RC 9312, RC 10212</v>
      </c>
      <c r="H77" s="19"/>
      <c r="I77" s="19"/>
      <c r="J77" s="19"/>
      <c r="K77" s="19" t="s">
        <v>70</v>
      </c>
      <c r="L77" s="19"/>
      <c r="M77" s="19"/>
      <c r="N77" s="19"/>
      <c r="O77" s="18" t="str">
        <f aca="false">C77&amp;" "&amp;D77&amp;" spare part - Efforts Engineers"</f>
        <v>Grasso RC 12 Series Suction Valve Plate spare part - Efforts Engineers</v>
      </c>
      <c r="P77" s="16" t="str">
        <f aca="false">IFERROR("/"&amp;LOWER(B77)&amp;"/"&amp;INDEX(Series!$D$2:$D$30,MATCH(C77,Series!$B$2:$B$30,0))&amp;"/"&amp;INDEX(Part_Categories!$C$2:$C$18,MATCH(D77,Part_Categories!$B$2:$B$18,0)),"CHECK")</f>
        <v>/grasso/rc-12/suction-valve-plate</v>
      </c>
      <c r="Q77" s="19"/>
    </row>
    <row r="78" customFormat="false" ht="46.25" hidden="false" customHeight="false" outlineLevel="0" collapsed="false">
      <c r="A78" s="16" t="n">
        <f aca="false">ROW()-1</f>
        <v>77</v>
      </c>
      <c r="B78" s="17" t="s">
        <v>75</v>
      </c>
      <c r="C78" s="17" t="s">
        <v>110</v>
      </c>
      <c r="D78" s="17" t="s">
        <v>98</v>
      </c>
      <c r="E78" s="16" t="str">
        <f aca="false">IFERROR(INDEX(Lists!$B$2:$B$7,MATCH(B78,Lists!$A$2:$A$7,0))&amp;"-"&amp;INDEX(Series!$C$2:$C$30,MATCH(C78,Series!$B$2:$B$30,0))&amp;"-"&amp;INDEX(Part_Categories!$A$2:$A$18,MATCH(D78,Part_Categories!$B$2:$B$18,0))&amp;"-01","CHECK")</f>
        <v>GRA-RC12-DVA-01</v>
      </c>
      <c r="F78" s="16" t="str">
        <f aca="false">E78&amp;".jpg"</f>
        <v>GRA-RC12-DVA-01.jpg</v>
      </c>
      <c r="G78" s="18" t="str">
        <f aca="false">IFERROR(INDEX(Series!$F$2:$F$30,MATCH(C78,Series!$B$2:$B$30,0)),"")</f>
        <v>RC 212, RC 312, RC 412, RC 512, RC 612, RC 912, RC 1212, RC 2112, RC 3112, RC 4212, RC 5112, RC 6312, RC 7212, RC 8412, RC 9312, RC 10212</v>
      </c>
      <c r="H78" s="19"/>
      <c r="I78" s="19"/>
      <c r="J78" s="19"/>
      <c r="K78" s="19" t="s">
        <v>70</v>
      </c>
      <c r="L78" s="19"/>
      <c r="M78" s="19"/>
      <c r="N78" s="19"/>
      <c r="O78" s="18" t="str">
        <f aca="false">C78&amp;" "&amp;D78&amp;" spare part - Efforts Engineers"</f>
        <v>Grasso RC 12 Series Discharge Valve Assembly spare part - Efforts Engineers</v>
      </c>
      <c r="P78" s="16" t="str">
        <f aca="false">IFERROR("/"&amp;LOWER(B78)&amp;"/"&amp;INDEX(Series!$D$2:$D$30,MATCH(C78,Series!$B$2:$B$30,0))&amp;"/"&amp;INDEX(Part_Categories!$C$2:$C$18,MATCH(D78,Part_Categories!$B$2:$B$18,0)),"CHECK")</f>
        <v>/grasso/rc-12/discharge-valve-assembly</v>
      </c>
      <c r="Q78" s="19"/>
    </row>
    <row r="79" customFormat="false" ht="46.25" hidden="false" customHeight="false" outlineLevel="0" collapsed="false">
      <c r="A79" s="16" t="n">
        <f aca="false">ROW()-1</f>
        <v>78</v>
      </c>
      <c r="B79" s="17" t="s">
        <v>75</v>
      </c>
      <c r="C79" s="17" t="s">
        <v>110</v>
      </c>
      <c r="D79" s="17" t="s">
        <v>99</v>
      </c>
      <c r="E79" s="16" t="str">
        <f aca="false">IFERROR(INDEX(Lists!$B$2:$B$7,MATCH(B79,Lists!$A$2:$A$7,0))&amp;"-"&amp;INDEX(Series!$C$2:$C$30,MATCH(C79,Series!$B$2:$B$30,0))&amp;"-"&amp;INDEX(Part_Categories!$A$2:$A$18,MATCH(D79,Part_Categories!$B$2:$B$18,0))&amp;"-01","CHECK")</f>
        <v>GRA-RC12-VSP-01</v>
      </c>
      <c r="F79" s="16" t="str">
        <f aca="false">E79&amp;".jpg"</f>
        <v>GRA-RC12-VSP-01.jpg</v>
      </c>
      <c r="G79" s="18" t="str">
        <f aca="false">IFERROR(INDEX(Series!$F$2:$F$30,MATCH(C79,Series!$B$2:$B$30,0)),"")</f>
        <v>RC 212, RC 312, RC 412, RC 512, RC 612, RC 912, RC 1212, RC 2112, RC 3112, RC 4212, RC 5112, RC 6312, RC 7212, RC 8412, RC 9312, RC 10212</v>
      </c>
      <c r="H79" s="19"/>
      <c r="I79" s="19"/>
      <c r="J79" s="19"/>
      <c r="K79" s="19" t="s">
        <v>70</v>
      </c>
      <c r="L79" s="19"/>
      <c r="M79" s="19"/>
      <c r="N79" s="19"/>
      <c r="O79" s="18" t="str">
        <f aca="false">C79&amp;" "&amp;D79&amp;" spare part - Efforts Engineers"</f>
        <v>Grasso RC 12 Series Valve Spring and Cage spare part - Efforts Engineers</v>
      </c>
      <c r="P79" s="16" t="str">
        <f aca="false">IFERROR("/"&amp;LOWER(B79)&amp;"/"&amp;INDEX(Series!$D$2:$D$30,MATCH(C79,Series!$B$2:$B$30,0))&amp;"/"&amp;INDEX(Part_Categories!$C$2:$C$18,MATCH(D79,Part_Categories!$B$2:$B$18,0)),"CHECK")</f>
        <v>/grasso/rc-12/valve-spring-and-cage</v>
      </c>
      <c r="Q79" s="19"/>
    </row>
    <row r="80" customFormat="false" ht="46.25" hidden="false" customHeight="false" outlineLevel="0" collapsed="false">
      <c r="A80" s="16" t="n">
        <f aca="false">ROW()-1</f>
        <v>79</v>
      </c>
      <c r="B80" s="17" t="s">
        <v>75</v>
      </c>
      <c r="C80" s="17" t="s">
        <v>110</v>
      </c>
      <c r="D80" s="17" t="s">
        <v>100</v>
      </c>
      <c r="E80" s="16" t="str">
        <f aca="false">IFERROR(INDEX(Lists!$B$2:$B$7,MATCH(B80,Lists!$A$2:$A$7,0))&amp;"-"&amp;INDEX(Series!$C$2:$C$30,MATCH(C80,Series!$B$2:$B$30,0))&amp;"-"&amp;INDEX(Part_Categories!$A$2:$A$18,MATCH(D80,Part_Categories!$B$2:$B$18,0))&amp;"-01","CHECK")</f>
        <v>GRA-RC12-HDC-01</v>
      </c>
      <c r="F80" s="16" t="str">
        <f aca="false">E80&amp;".jpg"</f>
        <v>GRA-RC12-HDC-01.jpg</v>
      </c>
      <c r="G80" s="18" t="str">
        <f aca="false">IFERROR(INDEX(Series!$F$2:$F$30,MATCH(C80,Series!$B$2:$B$30,0)),"")</f>
        <v>RC 212, RC 312, RC 412, RC 512, RC 612, RC 912, RC 1212, RC 2112, RC 3112, RC 4212, RC 5112, RC 6312, RC 7212, RC 8412, RC 9312, RC 10212</v>
      </c>
      <c r="H80" s="19"/>
      <c r="I80" s="19"/>
      <c r="J80" s="19"/>
      <c r="K80" s="19" t="s">
        <v>70</v>
      </c>
      <c r="L80" s="19"/>
      <c r="M80" s="19"/>
      <c r="N80" s="19"/>
      <c r="O80" s="18" t="str">
        <f aca="false">C80&amp;" "&amp;D80&amp;" spare part - Efforts Engineers"</f>
        <v>Grasso RC 12 Series Cylinder Head Cover spare part - Efforts Engineers</v>
      </c>
      <c r="P80" s="16" t="str">
        <f aca="false">IFERROR("/"&amp;LOWER(B80)&amp;"/"&amp;INDEX(Series!$D$2:$D$30,MATCH(C80,Series!$B$2:$B$30,0))&amp;"/"&amp;INDEX(Part_Categories!$C$2:$C$18,MATCH(D80,Part_Categories!$B$2:$B$18,0)),"CHECK")</f>
        <v>/grasso/rc-12/cylinder-head-cover</v>
      </c>
      <c r="Q80" s="19"/>
    </row>
    <row r="81" customFormat="false" ht="46.25" hidden="false" customHeight="false" outlineLevel="0" collapsed="false">
      <c r="A81" s="16" t="n">
        <f aca="false">ROW()-1</f>
        <v>80</v>
      </c>
      <c r="B81" s="17" t="s">
        <v>75</v>
      </c>
      <c r="C81" s="17" t="s">
        <v>110</v>
      </c>
      <c r="D81" s="17" t="s">
        <v>101</v>
      </c>
      <c r="E81" s="16" t="str">
        <f aca="false">IFERROR(INDEX(Lists!$B$2:$B$7,MATCH(B81,Lists!$A$2:$A$7,0))&amp;"-"&amp;INDEX(Series!$C$2:$C$30,MATCH(C81,Series!$B$2:$B$30,0))&amp;"-"&amp;INDEX(Part_Categories!$A$2:$A$18,MATCH(D81,Part_Categories!$B$2:$B$18,0))&amp;"-01","CHECK")</f>
        <v>GRA-RC12-GSK-01</v>
      </c>
      <c r="F81" s="16" t="str">
        <f aca="false">E81&amp;".jpg"</f>
        <v>GRA-RC12-GSK-01.jpg</v>
      </c>
      <c r="G81" s="18" t="str">
        <f aca="false">IFERROR(INDEX(Series!$F$2:$F$30,MATCH(C81,Series!$B$2:$B$30,0)),"")</f>
        <v>RC 212, RC 312, RC 412, RC 512, RC 612, RC 912, RC 1212, RC 2112, RC 3112, RC 4212, RC 5112, RC 6312, RC 7212, RC 8412, RC 9312, RC 10212</v>
      </c>
      <c r="H81" s="19"/>
      <c r="I81" s="19"/>
      <c r="J81" s="19"/>
      <c r="K81" s="19" t="s">
        <v>70</v>
      </c>
      <c r="L81" s="19"/>
      <c r="M81" s="19"/>
      <c r="N81" s="19"/>
      <c r="O81" s="18" t="str">
        <f aca="false">C81&amp;" "&amp;D81&amp;" spare part - Efforts Engineers"</f>
        <v>Grasso RC 12 Series Gasket and Overhaul Kit spare part - Efforts Engineers</v>
      </c>
      <c r="P81" s="16" t="str">
        <f aca="false">IFERROR("/"&amp;LOWER(B81)&amp;"/"&amp;INDEX(Series!$D$2:$D$30,MATCH(C81,Series!$B$2:$B$30,0))&amp;"/"&amp;INDEX(Part_Categories!$C$2:$C$18,MATCH(D81,Part_Categories!$B$2:$B$18,0)),"CHECK")</f>
        <v>/grasso/rc-12/gasket-and-overhaul-kit</v>
      </c>
      <c r="Q81" s="19"/>
    </row>
    <row r="82" customFormat="false" ht="46.25" hidden="false" customHeight="false" outlineLevel="0" collapsed="false">
      <c r="A82" s="16" t="n">
        <f aca="false">ROW()-1</f>
        <v>81</v>
      </c>
      <c r="B82" s="17" t="s">
        <v>75</v>
      </c>
      <c r="C82" s="17" t="s">
        <v>110</v>
      </c>
      <c r="D82" s="17" t="s">
        <v>102</v>
      </c>
      <c r="E82" s="16" t="str">
        <f aca="false">IFERROR(INDEX(Lists!$B$2:$B$7,MATCH(B82,Lists!$A$2:$A$7,0))&amp;"-"&amp;INDEX(Series!$C$2:$C$30,MATCH(C82,Series!$B$2:$B$30,0))&amp;"-"&amp;INDEX(Part_Categories!$A$2:$A$18,MATCH(D82,Part_Categories!$B$2:$B$18,0))&amp;"-01","CHECK")</f>
        <v>GRA-RC12-OPA-01</v>
      </c>
      <c r="F82" s="16" t="str">
        <f aca="false">E82&amp;".jpg"</f>
        <v>GRA-RC12-OPA-01.jpg</v>
      </c>
      <c r="G82" s="18" t="str">
        <f aca="false">IFERROR(INDEX(Series!$F$2:$F$30,MATCH(C82,Series!$B$2:$B$30,0)),"")</f>
        <v>RC 212, RC 312, RC 412, RC 512, RC 612, RC 912, RC 1212, RC 2112, RC 3112, RC 4212, RC 5112, RC 6312, RC 7212, RC 8412, RC 9312, RC 10212</v>
      </c>
      <c r="H82" s="19"/>
      <c r="I82" s="19"/>
      <c r="J82" s="19"/>
      <c r="K82" s="19" t="s">
        <v>70</v>
      </c>
      <c r="L82" s="19"/>
      <c r="M82" s="19"/>
      <c r="N82" s="19"/>
      <c r="O82" s="18" t="str">
        <f aca="false">C82&amp;" "&amp;D82&amp;" spare part - Efforts Engineers"</f>
        <v>Grasso RC 12 Series Oil Pump Assembly spare part - Efforts Engineers</v>
      </c>
      <c r="P82" s="16" t="str">
        <f aca="false">IFERROR("/"&amp;LOWER(B82)&amp;"/"&amp;INDEX(Series!$D$2:$D$30,MATCH(C82,Series!$B$2:$B$30,0))&amp;"/"&amp;INDEX(Part_Categories!$C$2:$C$18,MATCH(D82,Part_Categories!$B$2:$B$18,0)),"CHECK")</f>
        <v>/grasso/rc-12/oil-pump-assembly</v>
      </c>
      <c r="Q82" s="19"/>
    </row>
    <row r="83" customFormat="false" ht="46.25" hidden="false" customHeight="false" outlineLevel="0" collapsed="false">
      <c r="A83" s="16" t="n">
        <f aca="false">ROW()-1</f>
        <v>82</v>
      </c>
      <c r="B83" s="17" t="s">
        <v>75</v>
      </c>
      <c r="C83" s="17" t="s">
        <v>110</v>
      </c>
      <c r="D83" s="17" t="s">
        <v>103</v>
      </c>
      <c r="E83" s="16" t="str">
        <f aca="false">IFERROR(INDEX(Lists!$B$2:$B$7,MATCH(B83,Lists!$A$2:$A$7,0))&amp;"-"&amp;INDEX(Series!$C$2:$C$30,MATCH(C83,Series!$B$2:$B$30,0))&amp;"-"&amp;INDEX(Part_Categories!$A$2:$A$18,MATCH(D83,Part_Categories!$B$2:$B$18,0))&amp;"-01","CHECK")</f>
        <v>GRA-RC12-SHS-01</v>
      </c>
      <c r="F83" s="16" t="str">
        <f aca="false">E83&amp;".jpg"</f>
        <v>GRA-RC12-SHS-01.jpg</v>
      </c>
      <c r="G83" s="18" t="str">
        <f aca="false">IFERROR(INDEX(Series!$F$2:$F$30,MATCH(C83,Series!$B$2:$B$30,0)),"")</f>
        <v>RC 212, RC 312, RC 412, RC 512, RC 612, RC 912, RC 1212, RC 2112, RC 3112, RC 4212, RC 5112, RC 6312, RC 7212, RC 8412, RC 9312, RC 10212</v>
      </c>
      <c r="H83" s="19"/>
      <c r="I83" s="19"/>
      <c r="J83" s="19"/>
      <c r="K83" s="19" t="s">
        <v>70</v>
      </c>
      <c r="L83" s="19"/>
      <c r="M83" s="19"/>
      <c r="N83" s="19"/>
      <c r="O83" s="18" t="str">
        <f aca="false">C83&amp;" "&amp;D83&amp;" spare part - Efforts Engineers"</f>
        <v>Grasso RC 12 Series Shaft Seal spare part - Efforts Engineers</v>
      </c>
      <c r="P83" s="16" t="str">
        <f aca="false">IFERROR("/"&amp;LOWER(B83)&amp;"/"&amp;INDEX(Series!$D$2:$D$30,MATCH(C83,Series!$B$2:$B$30,0))&amp;"/"&amp;INDEX(Part_Categories!$C$2:$C$18,MATCH(D83,Part_Categories!$B$2:$B$18,0)),"CHECK")</f>
        <v>/grasso/rc-12/shaft-seal</v>
      </c>
      <c r="Q83" s="19"/>
    </row>
    <row r="84" customFormat="false" ht="46.25" hidden="false" customHeight="false" outlineLevel="0" collapsed="false">
      <c r="A84" s="16" t="n">
        <f aca="false">ROW()-1</f>
        <v>83</v>
      </c>
      <c r="B84" s="17" t="s">
        <v>75</v>
      </c>
      <c r="C84" s="17" t="s">
        <v>110</v>
      </c>
      <c r="D84" s="17" t="s">
        <v>104</v>
      </c>
      <c r="E84" s="16" t="str">
        <f aca="false">IFERROR(INDEX(Lists!$B$2:$B$7,MATCH(B84,Lists!$A$2:$A$7,0))&amp;"-"&amp;INDEX(Series!$C$2:$C$30,MATCH(C84,Series!$B$2:$B$30,0))&amp;"-"&amp;INDEX(Part_Categories!$A$2:$A$18,MATCH(D84,Part_Categories!$B$2:$B$18,0))&amp;"-01","CHECK")</f>
        <v>GRA-RC12-FLT-01</v>
      </c>
      <c r="F84" s="16" t="str">
        <f aca="false">E84&amp;".jpg"</f>
        <v>GRA-RC12-FLT-01.jpg</v>
      </c>
      <c r="G84" s="18" t="str">
        <f aca="false">IFERROR(INDEX(Series!$F$2:$F$30,MATCH(C84,Series!$B$2:$B$30,0)),"")</f>
        <v>RC 212, RC 312, RC 412, RC 512, RC 612, RC 912, RC 1212, RC 2112, RC 3112, RC 4212, RC 5112, RC 6312, RC 7212, RC 8412, RC 9312, RC 10212</v>
      </c>
      <c r="H84" s="19"/>
      <c r="I84" s="19"/>
      <c r="J84" s="19"/>
      <c r="K84" s="19" t="s">
        <v>70</v>
      </c>
      <c r="L84" s="19"/>
      <c r="M84" s="19"/>
      <c r="N84" s="19"/>
      <c r="O84" s="18" t="str">
        <f aca="false">C84&amp;" "&amp;D84&amp;" spare part - Efforts Engineers"</f>
        <v>Grasso RC 12 Series Oil Filter and Strainer spare part - Efforts Engineers</v>
      </c>
      <c r="P84" s="16" t="str">
        <f aca="false">IFERROR("/"&amp;LOWER(B84)&amp;"/"&amp;INDEX(Series!$D$2:$D$30,MATCH(C84,Series!$B$2:$B$30,0))&amp;"/"&amp;INDEX(Part_Categories!$C$2:$C$18,MATCH(D84,Part_Categories!$B$2:$B$18,0)),"CHECK")</f>
        <v>/grasso/rc-12/oil-filter-and-strainer</v>
      </c>
      <c r="Q84" s="19"/>
    </row>
    <row r="85" customFormat="false" ht="46.25" hidden="false" customHeight="false" outlineLevel="0" collapsed="false">
      <c r="A85" s="16" t="n">
        <f aca="false">ROW()-1</f>
        <v>84</v>
      </c>
      <c r="B85" s="17" t="s">
        <v>75</v>
      </c>
      <c r="C85" s="17" t="s">
        <v>110</v>
      </c>
      <c r="D85" s="17" t="s">
        <v>105</v>
      </c>
      <c r="E85" s="16" t="str">
        <f aca="false">IFERROR(INDEX(Lists!$B$2:$B$7,MATCH(B85,Lists!$A$2:$A$7,0))&amp;"-"&amp;INDEX(Series!$C$2:$C$30,MATCH(C85,Series!$B$2:$B$30,0))&amp;"-"&amp;INDEX(Part_Categories!$A$2:$A$18,MATCH(D85,Part_Categories!$B$2:$B$18,0))&amp;"-01","CHECK")</f>
        <v>GRA-RC12-ULD-01</v>
      </c>
      <c r="F85" s="16" t="str">
        <f aca="false">E85&amp;".jpg"</f>
        <v>GRA-RC12-ULD-01.jpg</v>
      </c>
      <c r="G85" s="18" t="str">
        <f aca="false">IFERROR(INDEX(Series!$F$2:$F$30,MATCH(C85,Series!$B$2:$B$30,0)),"")</f>
        <v>RC 212, RC 312, RC 412, RC 512, RC 612, RC 912, RC 1212, RC 2112, RC 3112, RC 4212, RC 5112, RC 6312, RC 7212, RC 8412, RC 9312, RC 10212</v>
      </c>
      <c r="H85" s="19"/>
      <c r="I85" s="19"/>
      <c r="J85" s="19"/>
      <c r="K85" s="19" t="s">
        <v>70</v>
      </c>
      <c r="L85" s="19"/>
      <c r="M85" s="19"/>
      <c r="N85" s="19"/>
      <c r="O85" s="18" t="str">
        <f aca="false">C85&amp;" "&amp;D85&amp;" spare part - Efforts Engineers"</f>
        <v>Grasso RC 12 Series Unloader and Capacity Control spare part - Efforts Engineers</v>
      </c>
      <c r="P85" s="16" t="str">
        <f aca="false">IFERROR("/"&amp;LOWER(B85)&amp;"/"&amp;INDEX(Series!$D$2:$D$30,MATCH(C85,Series!$B$2:$B$30,0))&amp;"/"&amp;INDEX(Part_Categories!$C$2:$C$18,MATCH(D85,Part_Categories!$B$2:$B$18,0)),"CHECK")</f>
        <v>/grasso/rc-12/unloader-and-capacity-control</v>
      </c>
      <c r="Q85" s="19"/>
    </row>
    <row r="86" customFormat="false" ht="46.25" hidden="false" customHeight="false" outlineLevel="0" collapsed="false">
      <c r="A86" s="16" t="n">
        <f aca="false">ROW()-1</f>
        <v>85</v>
      </c>
      <c r="B86" s="17" t="s">
        <v>75</v>
      </c>
      <c r="C86" s="17" t="s">
        <v>110</v>
      </c>
      <c r="D86" s="17" t="s">
        <v>106</v>
      </c>
      <c r="E86" s="16" t="str">
        <f aca="false">IFERROR(INDEX(Lists!$B$2:$B$7,MATCH(B86,Lists!$A$2:$A$7,0))&amp;"-"&amp;INDEX(Series!$C$2:$C$30,MATCH(C86,Series!$B$2:$B$30,0))&amp;"-"&amp;INDEX(Part_Categories!$A$2:$A$18,MATCH(D86,Part_Categories!$B$2:$B$18,0))&amp;"-01","CHECK")</f>
        <v>GRA-RC12-SAF-01</v>
      </c>
      <c r="F86" s="16" t="str">
        <f aca="false">E86&amp;".jpg"</f>
        <v>GRA-RC12-SAF-01.jpg</v>
      </c>
      <c r="G86" s="18" t="str">
        <f aca="false">IFERROR(INDEX(Series!$F$2:$F$30,MATCH(C86,Series!$B$2:$B$30,0)),"")</f>
        <v>RC 212, RC 312, RC 412, RC 512, RC 612, RC 912, RC 1212, RC 2112, RC 3112, RC 4212, RC 5112, RC 6312, RC 7212, RC 8412, RC 9312, RC 10212</v>
      </c>
      <c r="H86" s="19"/>
      <c r="I86" s="19"/>
      <c r="J86" s="19"/>
      <c r="K86" s="19" t="s">
        <v>70</v>
      </c>
      <c r="L86" s="19"/>
      <c r="M86" s="19"/>
      <c r="N86" s="19"/>
      <c r="O86" s="18" t="str">
        <f aca="false">C86&amp;" "&amp;D86&amp;" spare part - Efforts Engineers"</f>
        <v>Grasso RC 12 Series Safety Head and Relief Valve spare part - Efforts Engineers</v>
      </c>
      <c r="P86" s="16" t="str">
        <f aca="false">IFERROR("/"&amp;LOWER(B86)&amp;"/"&amp;INDEX(Series!$D$2:$D$30,MATCH(C86,Series!$B$2:$B$30,0))&amp;"/"&amp;INDEX(Part_Categories!$C$2:$C$18,MATCH(D86,Part_Categories!$B$2:$B$18,0)),"CHECK")</f>
        <v>/grasso/rc-12/safety-head-and-relief-valve</v>
      </c>
      <c r="Q86" s="19"/>
    </row>
    <row r="87" customFormat="false" ht="23.85" hidden="false" customHeight="false" outlineLevel="0" collapsed="false">
      <c r="A87" s="16" t="n">
        <f aca="false">ROW()-1</f>
        <v>86</v>
      </c>
      <c r="B87" s="17" t="s">
        <v>76</v>
      </c>
      <c r="C87" s="17" t="s">
        <v>111</v>
      </c>
      <c r="D87" s="17" t="s">
        <v>58</v>
      </c>
      <c r="E87" s="16" t="str">
        <f aca="false">IFERROR(INDEX(Lists!$B$2:$B$7,MATCH(B87,Lists!$A$2:$A$7,0))&amp;"-"&amp;INDEX(Series!$C$2:$C$30,MATCH(C87,Series!$B$2:$B$30,0))&amp;"-"&amp;INDEX(Part_Categories!$A$2:$A$18,MATCH(D87,Part_Categories!$B$2:$B$18,0))&amp;"-01","CHECK")</f>
        <v>SAB-CMO-CLN-01</v>
      </c>
      <c r="F87" s="16" t="str">
        <f aca="false">E87&amp;".jpg"</f>
        <v>SAB-CMO-CLN-01.jpg</v>
      </c>
      <c r="G87" s="18" t="str">
        <f aca="false">IFERROR(INDEX(Series!$F$2:$F$30,MATCH(C87,Series!$B$2:$B$30,0)),"")</f>
        <v>CMO 14, CMO 16, CMO 18, CMO 24, CMO 26, CMO 28, TCMO 28</v>
      </c>
      <c r="H87" s="19"/>
      <c r="I87" s="19"/>
      <c r="J87" s="19"/>
      <c r="K87" s="19" t="s">
        <v>70</v>
      </c>
      <c r="L87" s="19"/>
      <c r="M87" s="19"/>
      <c r="N87" s="19"/>
      <c r="O87" s="18" t="str">
        <f aca="false">C87&amp;" "&amp;D87&amp;" spare part - Efforts Engineers"</f>
        <v>Sabroe CMO Series Cylinder Liner spare part - Efforts Engineers</v>
      </c>
      <c r="P87" s="16" t="str">
        <f aca="false">IFERROR("/"&amp;LOWER(B87)&amp;"/"&amp;INDEX(Series!$D$2:$D$30,MATCH(C87,Series!$B$2:$B$30,0))&amp;"/"&amp;INDEX(Part_Categories!$C$2:$C$18,MATCH(D87,Part_Categories!$B$2:$B$18,0)),"CHECK")</f>
        <v>/sabroe/cmo/cylinder-liner</v>
      </c>
      <c r="Q87" s="19"/>
    </row>
    <row r="88" customFormat="false" ht="23.85" hidden="false" customHeight="false" outlineLevel="0" collapsed="false">
      <c r="A88" s="16" t="n">
        <f aca="false">ROW()-1</f>
        <v>87</v>
      </c>
      <c r="B88" s="17" t="s">
        <v>76</v>
      </c>
      <c r="C88" s="17" t="s">
        <v>111</v>
      </c>
      <c r="D88" s="17" t="s">
        <v>91</v>
      </c>
      <c r="E88" s="16" t="str">
        <f aca="false">IFERROR(INDEX(Lists!$B$2:$B$7,MATCH(B88,Lists!$A$2:$A$7,0))&amp;"-"&amp;INDEX(Series!$C$2:$C$30,MATCH(C88,Series!$B$2:$B$30,0))&amp;"-"&amp;INDEX(Part_Categories!$A$2:$A$18,MATCH(D88,Part_Categories!$B$2:$B$18,0))&amp;"-01","CHECK")</f>
        <v>SAB-CMO-PST-01</v>
      </c>
      <c r="F88" s="16" t="str">
        <f aca="false">E88&amp;".jpg"</f>
        <v>SAB-CMO-PST-01.jpg</v>
      </c>
      <c r="G88" s="18" t="str">
        <f aca="false">IFERROR(INDEX(Series!$F$2:$F$30,MATCH(C88,Series!$B$2:$B$30,0)),"")</f>
        <v>CMO 14, CMO 16, CMO 18, CMO 24, CMO 26, CMO 28, TCMO 28</v>
      </c>
      <c r="H88" s="19"/>
      <c r="I88" s="19"/>
      <c r="J88" s="19"/>
      <c r="K88" s="19" t="s">
        <v>70</v>
      </c>
      <c r="L88" s="19"/>
      <c r="M88" s="19"/>
      <c r="N88" s="19"/>
      <c r="O88" s="18" t="str">
        <f aca="false">C88&amp;" "&amp;D88&amp;" spare part - Efforts Engineers"</f>
        <v>Sabroe CMO Series Piston Assembly spare part - Efforts Engineers</v>
      </c>
      <c r="P88" s="16" t="str">
        <f aca="false">IFERROR("/"&amp;LOWER(B88)&amp;"/"&amp;INDEX(Series!$D$2:$D$30,MATCH(C88,Series!$B$2:$B$30,0))&amp;"/"&amp;INDEX(Part_Categories!$C$2:$C$18,MATCH(D88,Part_Categories!$B$2:$B$18,0)),"CHECK")</f>
        <v>/sabroe/cmo/piston-assembly</v>
      </c>
      <c r="Q88" s="19"/>
    </row>
    <row r="89" customFormat="false" ht="23.85" hidden="false" customHeight="false" outlineLevel="0" collapsed="false">
      <c r="A89" s="16" t="n">
        <f aca="false">ROW()-1</f>
        <v>88</v>
      </c>
      <c r="B89" s="17" t="s">
        <v>76</v>
      </c>
      <c r="C89" s="17" t="s">
        <v>111</v>
      </c>
      <c r="D89" s="17" t="s">
        <v>92</v>
      </c>
      <c r="E89" s="16" t="str">
        <f aca="false">IFERROR(INDEX(Lists!$B$2:$B$7,MATCH(B89,Lists!$A$2:$A$7,0))&amp;"-"&amp;INDEX(Series!$C$2:$C$30,MATCH(C89,Series!$B$2:$B$30,0))&amp;"-"&amp;INDEX(Part_Categories!$A$2:$A$18,MATCH(D89,Part_Categories!$B$2:$B$18,0))&amp;"-01","CHECK")</f>
        <v>SAB-CMO-PRG-01</v>
      </c>
      <c r="F89" s="16" t="str">
        <f aca="false">E89&amp;".jpg"</f>
        <v>SAB-CMO-PRG-01.jpg</v>
      </c>
      <c r="G89" s="18" t="str">
        <f aca="false">IFERROR(INDEX(Series!$F$2:$F$30,MATCH(C89,Series!$B$2:$B$30,0)),"")</f>
        <v>CMO 14, CMO 16, CMO 18, CMO 24, CMO 26, CMO 28, TCMO 28</v>
      </c>
      <c r="H89" s="19"/>
      <c r="I89" s="19"/>
      <c r="J89" s="19"/>
      <c r="K89" s="19" t="s">
        <v>70</v>
      </c>
      <c r="L89" s="19"/>
      <c r="M89" s="19"/>
      <c r="N89" s="19"/>
      <c r="O89" s="18" t="str">
        <f aca="false">C89&amp;" "&amp;D89&amp;" spare part - Efforts Engineers"</f>
        <v>Sabroe CMO Series Piston Ring Set spare part - Efforts Engineers</v>
      </c>
      <c r="P89" s="16" t="str">
        <f aca="false">IFERROR("/"&amp;LOWER(B89)&amp;"/"&amp;INDEX(Series!$D$2:$D$30,MATCH(C89,Series!$B$2:$B$30,0))&amp;"/"&amp;INDEX(Part_Categories!$C$2:$C$18,MATCH(D89,Part_Categories!$B$2:$B$18,0)),"CHECK")</f>
        <v>/sabroe/cmo/piston-ring-set</v>
      </c>
      <c r="Q89" s="19"/>
    </row>
    <row r="90" customFormat="false" ht="23.85" hidden="false" customHeight="false" outlineLevel="0" collapsed="false">
      <c r="A90" s="16" t="n">
        <f aca="false">ROW()-1</f>
        <v>89</v>
      </c>
      <c r="B90" s="17" t="s">
        <v>76</v>
      </c>
      <c r="C90" s="17" t="s">
        <v>111</v>
      </c>
      <c r="D90" s="17" t="s">
        <v>93</v>
      </c>
      <c r="E90" s="16" t="str">
        <f aca="false">IFERROR(INDEX(Lists!$B$2:$B$7,MATCH(B90,Lists!$A$2:$A$7,0))&amp;"-"&amp;INDEX(Series!$C$2:$C$30,MATCH(C90,Series!$B$2:$B$30,0))&amp;"-"&amp;INDEX(Part_Categories!$A$2:$A$18,MATCH(D90,Part_Categories!$B$2:$B$18,0))&amp;"-01","CHECK")</f>
        <v>SAB-CMO-CRD-01</v>
      </c>
      <c r="F90" s="16" t="str">
        <f aca="false">E90&amp;".jpg"</f>
        <v>SAB-CMO-CRD-01.jpg</v>
      </c>
      <c r="G90" s="18" t="str">
        <f aca="false">IFERROR(INDEX(Series!$F$2:$F$30,MATCH(C90,Series!$B$2:$B$30,0)),"")</f>
        <v>CMO 14, CMO 16, CMO 18, CMO 24, CMO 26, CMO 28, TCMO 28</v>
      </c>
      <c r="H90" s="19"/>
      <c r="I90" s="19"/>
      <c r="J90" s="19"/>
      <c r="K90" s="19" t="s">
        <v>70</v>
      </c>
      <c r="L90" s="19"/>
      <c r="M90" s="19"/>
      <c r="N90" s="19"/>
      <c r="O90" s="18" t="str">
        <f aca="false">C90&amp;" "&amp;D90&amp;" spare part - Efforts Engineers"</f>
        <v>Sabroe CMO Series Connecting Rod spare part - Efforts Engineers</v>
      </c>
      <c r="P90" s="16" t="str">
        <f aca="false">IFERROR("/"&amp;LOWER(B90)&amp;"/"&amp;INDEX(Series!$D$2:$D$30,MATCH(C90,Series!$B$2:$B$30,0))&amp;"/"&amp;INDEX(Part_Categories!$C$2:$C$18,MATCH(D90,Part_Categories!$B$2:$B$18,0)),"CHECK")</f>
        <v>/sabroe/cmo/connecting-rod</v>
      </c>
      <c r="Q90" s="19"/>
    </row>
    <row r="91" customFormat="false" ht="23.85" hidden="false" customHeight="false" outlineLevel="0" collapsed="false">
      <c r="A91" s="16" t="n">
        <f aca="false">ROW()-1</f>
        <v>90</v>
      </c>
      <c r="B91" s="17" t="s">
        <v>76</v>
      </c>
      <c r="C91" s="17" t="s">
        <v>111</v>
      </c>
      <c r="D91" s="17" t="s">
        <v>94</v>
      </c>
      <c r="E91" s="16" t="str">
        <f aca="false">IFERROR(INDEX(Lists!$B$2:$B$7,MATCH(B91,Lists!$A$2:$A$7,0))&amp;"-"&amp;INDEX(Series!$C$2:$C$30,MATCH(C91,Series!$B$2:$B$30,0))&amp;"-"&amp;INDEX(Part_Categories!$A$2:$A$18,MATCH(D91,Part_Categories!$B$2:$B$18,0))&amp;"-01","CHECK")</f>
        <v>SAB-CMO-CRK-01</v>
      </c>
      <c r="F91" s="16" t="str">
        <f aca="false">E91&amp;".jpg"</f>
        <v>SAB-CMO-CRK-01.jpg</v>
      </c>
      <c r="G91" s="18" t="str">
        <f aca="false">IFERROR(INDEX(Series!$F$2:$F$30,MATCH(C91,Series!$B$2:$B$30,0)),"")</f>
        <v>CMO 14, CMO 16, CMO 18, CMO 24, CMO 26, CMO 28, TCMO 28</v>
      </c>
      <c r="H91" s="19"/>
      <c r="I91" s="19"/>
      <c r="J91" s="19"/>
      <c r="K91" s="19" t="s">
        <v>70</v>
      </c>
      <c r="L91" s="19"/>
      <c r="M91" s="19"/>
      <c r="N91" s="19"/>
      <c r="O91" s="18" t="str">
        <f aca="false">C91&amp;" "&amp;D91&amp;" spare part - Efforts Engineers"</f>
        <v>Sabroe CMO Series Crankshaft spare part - Efforts Engineers</v>
      </c>
      <c r="P91" s="16" t="str">
        <f aca="false">IFERROR("/"&amp;LOWER(B91)&amp;"/"&amp;INDEX(Series!$D$2:$D$30,MATCH(C91,Series!$B$2:$B$30,0))&amp;"/"&amp;INDEX(Part_Categories!$C$2:$C$18,MATCH(D91,Part_Categories!$B$2:$B$18,0)),"CHECK")</f>
        <v>/sabroe/cmo/crankshaft</v>
      </c>
      <c r="Q91" s="19"/>
    </row>
    <row r="92" customFormat="false" ht="23.85" hidden="false" customHeight="false" outlineLevel="0" collapsed="false">
      <c r="A92" s="16" t="n">
        <f aca="false">ROW()-1</f>
        <v>91</v>
      </c>
      <c r="B92" s="17" t="s">
        <v>76</v>
      </c>
      <c r="C92" s="17" t="s">
        <v>111</v>
      </c>
      <c r="D92" s="17" t="s">
        <v>95</v>
      </c>
      <c r="E92" s="16" t="str">
        <f aca="false">IFERROR(INDEX(Lists!$B$2:$B$7,MATCH(B92,Lists!$A$2:$A$7,0))&amp;"-"&amp;INDEX(Series!$C$2:$C$30,MATCH(C92,Series!$B$2:$B$30,0))&amp;"-"&amp;INDEX(Part_Categories!$A$2:$A$18,MATCH(D92,Part_Categories!$B$2:$B$18,0))&amp;"-01","CHECK")</f>
        <v>SAB-CMO-PIN-01</v>
      </c>
      <c r="F92" s="16" t="str">
        <f aca="false">E92&amp;".jpg"</f>
        <v>SAB-CMO-PIN-01.jpg</v>
      </c>
      <c r="G92" s="18" t="str">
        <f aca="false">IFERROR(INDEX(Series!$F$2:$F$30,MATCH(C92,Series!$B$2:$B$30,0)),"")</f>
        <v>CMO 14, CMO 16, CMO 18, CMO 24, CMO 26, CMO 28, TCMO 28</v>
      </c>
      <c r="H92" s="19"/>
      <c r="I92" s="19"/>
      <c r="J92" s="19"/>
      <c r="K92" s="19" t="s">
        <v>70</v>
      </c>
      <c r="L92" s="19"/>
      <c r="M92" s="19"/>
      <c r="N92" s="19"/>
      <c r="O92" s="18" t="str">
        <f aca="false">C92&amp;" "&amp;D92&amp;" spare part - Efforts Engineers"</f>
        <v>Sabroe CMO Series Gudgeon Pin and Bush spare part - Efforts Engineers</v>
      </c>
      <c r="P92" s="16" t="str">
        <f aca="false">IFERROR("/"&amp;LOWER(B92)&amp;"/"&amp;INDEX(Series!$D$2:$D$30,MATCH(C92,Series!$B$2:$B$30,0))&amp;"/"&amp;INDEX(Part_Categories!$C$2:$C$18,MATCH(D92,Part_Categories!$B$2:$B$18,0)),"CHECK")</f>
        <v>/sabroe/cmo/gudgeon-pin-and-bush</v>
      </c>
      <c r="Q92" s="19"/>
    </row>
    <row r="93" customFormat="false" ht="23.85" hidden="false" customHeight="false" outlineLevel="0" collapsed="false">
      <c r="A93" s="16" t="n">
        <f aca="false">ROW()-1</f>
        <v>92</v>
      </c>
      <c r="B93" s="17" t="s">
        <v>76</v>
      </c>
      <c r="C93" s="17" t="s">
        <v>111</v>
      </c>
      <c r="D93" s="17" t="s">
        <v>96</v>
      </c>
      <c r="E93" s="16" t="str">
        <f aca="false">IFERROR(INDEX(Lists!$B$2:$B$7,MATCH(B93,Lists!$A$2:$A$7,0))&amp;"-"&amp;INDEX(Series!$C$2:$C$30,MATCH(C93,Series!$B$2:$B$30,0))&amp;"-"&amp;INDEX(Part_Categories!$A$2:$A$18,MATCH(D93,Part_Categories!$B$2:$B$18,0))&amp;"-01","CHECK")</f>
        <v>SAB-CMO-BRG-01</v>
      </c>
      <c r="F93" s="16" t="str">
        <f aca="false">E93&amp;".jpg"</f>
        <v>SAB-CMO-BRG-01.jpg</v>
      </c>
      <c r="G93" s="18" t="str">
        <f aca="false">IFERROR(INDEX(Series!$F$2:$F$30,MATCH(C93,Series!$B$2:$B$30,0)),"")</f>
        <v>CMO 14, CMO 16, CMO 18, CMO 24, CMO 26, CMO 28, TCMO 28</v>
      </c>
      <c r="H93" s="19"/>
      <c r="I93" s="19"/>
      <c r="J93" s="19"/>
      <c r="K93" s="19" t="s">
        <v>70</v>
      </c>
      <c r="L93" s="19"/>
      <c r="M93" s="19"/>
      <c r="N93" s="19"/>
      <c r="O93" s="18" t="str">
        <f aca="false">C93&amp;" "&amp;D93&amp;" spare part - Efforts Engineers"</f>
        <v>Sabroe CMO Series Main Bearing and Bush spare part - Efforts Engineers</v>
      </c>
      <c r="P93" s="16" t="str">
        <f aca="false">IFERROR("/"&amp;LOWER(B93)&amp;"/"&amp;INDEX(Series!$D$2:$D$30,MATCH(C93,Series!$B$2:$B$30,0))&amp;"/"&amp;INDEX(Part_Categories!$C$2:$C$18,MATCH(D93,Part_Categories!$B$2:$B$18,0)),"CHECK")</f>
        <v>/sabroe/cmo/main-bearing-and-bush</v>
      </c>
      <c r="Q93" s="19"/>
    </row>
    <row r="94" customFormat="false" ht="23.85" hidden="false" customHeight="false" outlineLevel="0" collapsed="false">
      <c r="A94" s="16" t="n">
        <f aca="false">ROW()-1</f>
        <v>93</v>
      </c>
      <c r="B94" s="17" t="s">
        <v>76</v>
      </c>
      <c r="C94" s="17" t="s">
        <v>111</v>
      </c>
      <c r="D94" s="17" t="s">
        <v>97</v>
      </c>
      <c r="E94" s="16" t="str">
        <f aca="false">IFERROR(INDEX(Lists!$B$2:$B$7,MATCH(B94,Lists!$A$2:$A$7,0))&amp;"-"&amp;INDEX(Series!$C$2:$C$30,MATCH(C94,Series!$B$2:$B$30,0))&amp;"-"&amp;INDEX(Part_Categories!$A$2:$A$18,MATCH(D94,Part_Categories!$B$2:$B$18,0))&amp;"-01","CHECK")</f>
        <v>SAB-CMO-SVP-01</v>
      </c>
      <c r="F94" s="16" t="str">
        <f aca="false">E94&amp;".jpg"</f>
        <v>SAB-CMO-SVP-01.jpg</v>
      </c>
      <c r="G94" s="18" t="str">
        <f aca="false">IFERROR(INDEX(Series!$F$2:$F$30,MATCH(C94,Series!$B$2:$B$30,0)),"")</f>
        <v>CMO 14, CMO 16, CMO 18, CMO 24, CMO 26, CMO 28, TCMO 28</v>
      </c>
      <c r="H94" s="19"/>
      <c r="I94" s="19"/>
      <c r="J94" s="19"/>
      <c r="K94" s="19" t="s">
        <v>70</v>
      </c>
      <c r="L94" s="19"/>
      <c r="M94" s="19"/>
      <c r="N94" s="19"/>
      <c r="O94" s="18" t="str">
        <f aca="false">C94&amp;" "&amp;D94&amp;" spare part - Efforts Engineers"</f>
        <v>Sabroe CMO Series Suction Valve Plate spare part - Efforts Engineers</v>
      </c>
      <c r="P94" s="16" t="str">
        <f aca="false">IFERROR("/"&amp;LOWER(B94)&amp;"/"&amp;INDEX(Series!$D$2:$D$30,MATCH(C94,Series!$B$2:$B$30,0))&amp;"/"&amp;INDEX(Part_Categories!$C$2:$C$18,MATCH(D94,Part_Categories!$B$2:$B$18,0)),"CHECK")</f>
        <v>/sabroe/cmo/suction-valve-plate</v>
      </c>
      <c r="Q94" s="19"/>
    </row>
    <row r="95" customFormat="false" ht="23.85" hidden="false" customHeight="false" outlineLevel="0" collapsed="false">
      <c r="A95" s="16" t="n">
        <f aca="false">ROW()-1</f>
        <v>94</v>
      </c>
      <c r="B95" s="17" t="s">
        <v>76</v>
      </c>
      <c r="C95" s="17" t="s">
        <v>111</v>
      </c>
      <c r="D95" s="17" t="s">
        <v>98</v>
      </c>
      <c r="E95" s="16" t="str">
        <f aca="false">IFERROR(INDEX(Lists!$B$2:$B$7,MATCH(B95,Lists!$A$2:$A$7,0))&amp;"-"&amp;INDEX(Series!$C$2:$C$30,MATCH(C95,Series!$B$2:$B$30,0))&amp;"-"&amp;INDEX(Part_Categories!$A$2:$A$18,MATCH(D95,Part_Categories!$B$2:$B$18,0))&amp;"-01","CHECK")</f>
        <v>SAB-CMO-DVA-01</v>
      </c>
      <c r="F95" s="16" t="str">
        <f aca="false">E95&amp;".jpg"</f>
        <v>SAB-CMO-DVA-01.jpg</v>
      </c>
      <c r="G95" s="18" t="str">
        <f aca="false">IFERROR(INDEX(Series!$F$2:$F$30,MATCH(C95,Series!$B$2:$B$30,0)),"")</f>
        <v>CMO 14, CMO 16, CMO 18, CMO 24, CMO 26, CMO 28, TCMO 28</v>
      </c>
      <c r="H95" s="19"/>
      <c r="I95" s="19"/>
      <c r="J95" s="19"/>
      <c r="K95" s="19" t="s">
        <v>70</v>
      </c>
      <c r="L95" s="19"/>
      <c r="M95" s="19"/>
      <c r="N95" s="19"/>
      <c r="O95" s="18" t="str">
        <f aca="false">C95&amp;" "&amp;D95&amp;" spare part - Efforts Engineers"</f>
        <v>Sabroe CMO Series Discharge Valve Assembly spare part - Efforts Engineers</v>
      </c>
      <c r="P95" s="16" t="str">
        <f aca="false">IFERROR("/"&amp;LOWER(B95)&amp;"/"&amp;INDEX(Series!$D$2:$D$30,MATCH(C95,Series!$B$2:$B$30,0))&amp;"/"&amp;INDEX(Part_Categories!$C$2:$C$18,MATCH(D95,Part_Categories!$B$2:$B$18,0)),"CHECK")</f>
        <v>/sabroe/cmo/discharge-valve-assembly</v>
      </c>
      <c r="Q95" s="19"/>
    </row>
    <row r="96" customFormat="false" ht="23.85" hidden="false" customHeight="false" outlineLevel="0" collapsed="false">
      <c r="A96" s="16" t="n">
        <f aca="false">ROW()-1</f>
        <v>95</v>
      </c>
      <c r="B96" s="17" t="s">
        <v>76</v>
      </c>
      <c r="C96" s="17" t="s">
        <v>111</v>
      </c>
      <c r="D96" s="17" t="s">
        <v>99</v>
      </c>
      <c r="E96" s="16" t="str">
        <f aca="false">IFERROR(INDEX(Lists!$B$2:$B$7,MATCH(B96,Lists!$A$2:$A$7,0))&amp;"-"&amp;INDEX(Series!$C$2:$C$30,MATCH(C96,Series!$B$2:$B$30,0))&amp;"-"&amp;INDEX(Part_Categories!$A$2:$A$18,MATCH(D96,Part_Categories!$B$2:$B$18,0))&amp;"-01","CHECK")</f>
        <v>SAB-CMO-VSP-01</v>
      </c>
      <c r="F96" s="16" t="str">
        <f aca="false">E96&amp;".jpg"</f>
        <v>SAB-CMO-VSP-01.jpg</v>
      </c>
      <c r="G96" s="18" t="str">
        <f aca="false">IFERROR(INDEX(Series!$F$2:$F$30,MATCH(C96,Series!$B$2:$B$30,0)),"")</f>
        <v>CMO 14, CMO 16, CMO 18, CMO 24, CMO 26, CMO 28, TCMO 28</v>
      </c>
      <c r="H96" s="19"/>
      <c r="I96" s="19"/>
      <c r="J96" s="19"/>
      <c r="K96" s="19" t="s">
        <v>70</v>
      </c>
      <c r="L96" s="19"/>
      <c r="M96" s="19"/>
      <c r="N96" s="19"/>
      <c r="O96" s="18" t="str">
        <f aca="false">C96&amp;" "&amp;D96&amp;" spare part - Efforts Engineers"</f>
        <v>Sabroe CMO Series Valve Spring and Cage spare part - Efforts Engineers</v>
      </c>
      <c r="P96" s="16" t="str">
        <f aca="false">IFERROR("/"&amp;LOWER(B96)&amp;"/"&amp;INDEX(Series!$D$2:$D$30,MATCH(C96,Series!$B$2:$B$30,0))&amp;"/"&amp;INDEX(Part_Categories!$C$2:$C$18,MATCH(D96,Part_Categories!$B$2:$B$18,0)),"CHECK")</f>
        <v>/sabroe/cmo/valve-spring-and-cage</v>
      </c>
      <c r="Q96" s="19"/>
    </row>
    <row r="97" customFormat="false" ht="23.85" hidden="false" customHeight="false" outlineLevel="0" collapsed="false">
      <c r="A97" s="16" t="n">
        <f aca="false">ROW()-1</f>
        <v>96</v>
      </c>
      <c r="B97" s="17" t="s">
        <v>76</v>
      </c>
      <c r="C97" s="17" t="s">
        <v>111</v>
      </c>
      <c r="D97" s="17" t="s">
        <v>100</v>
      </c>
      <c r="E97" s="16" t="str">
        <f aca="false">IFERROR(INDEX(Lists!$B$2:$B$7,MATCH(B97,Lists!$A$2:$A$7,0))&amp;"-"&amp;INDEX(Series!$C$2:$C$30,MATCH(C97,Series!$B$2:$B$30,0))&amp;"-"&amp;INDEX(Part_Categories!$A$2:$A$18,MATCH(D97,Part_Categories!$B$2:$B$18,0))&amp;"-01","CHECK")</f>
        <v>SAB-CMO-HDC-01</v>
      </c>
      <c r="F97" s="16" t="str">
        <f aca="false">E97&amp;".jpg"</f>
        <v>SAB-CMO-HDC-01.jpg</v>
      </c>
      <c r="G97" s="18" t="str">
        <f aca="false">IFERROR(INDEX(Series!$F$2:$F$30,MATCH(C97,Series!$B$2:$B$30,0)),"")</f>
        <v>CMO 14, CMO 16, CMO 18, CMO 24, CMO 26, CMO 28, TCMO 28</v>
      </c>
      <c r="H97" s="19"/>
      <c r="I97" s="19"/>
      <c r="J97" s="19"/>
      <c r="K97" s="19" t="s">
        <v>70</v>
      </c>
      <c r="L97" s="19"/>
      <c r="M97" s="19"/>
      <c r="N97" s="19"/>
      <c r="O97" s="18" t="str">
        <f aca="false">C97&amp;" "&amp;D97&amp;" spare part - Efforts Engineers"</f>
        <v>Sabroe CMO Series Cylinder Head Cover spare part - Efforts Engineers</v>
      </c>
      <c r="P97" s="16" t="str">
        <f aca="false">IFERROR("/"&amp;LOWER(B97)&amp;"/"&amp;INDEX(Series!$D$2:$D$30,MATCH(C97,Series!$B$2:$B$30,0))&amp;"/"&amp;INDEX(Part_Categories!$C$2:$C$18,MATCH(D97,Part_Categories!$B$2:$B$18,0)),"CHECK")</f>
        <v>/sabroe/cmo/cylinder-head-cover</v>
      </c>
      <c r="Q97" s="19"/>
    </row>
    <row r="98" customFormat="false" ht="23.85" hidden="false" customHeight="false" outlineLevel="0" collapsed="false">
      <c r="A98" s="16" t="n">
        <f aca="false">ROW()-1</f>
        <v>97</v>
      </c>
      <c r="B98" s="17" t="s">
        <v>76</v>
      </c>
      <c r="C98" s="17" t="s">
        <v>111</v>
      </c>
      <c r="D98" s="17" t="s">
        <v>101</v>
      </c>
      <c r="E98" s="16" t="str">
        <f aca="false">IFERROR(INDEX(Lists!$B$2:$B$7,MATCH(B98,Lists!$A$2:$A$7,0))&amp;"-"&amp;INDEX(Series!$C$2:$C$30,MATCH(C98,Series!$B$2:$B$30,0))&amp;"-"&amp;INDEX(Part_Categories!$A$2:$A$18,MATCH(D98,Part_Categories!$B$2:$B$18,0))&amp;"-01","CHECK")</f>
        <v>SAB-CMO-GSK-01</v>
      </c>
      <c r="F98" s="16" t="str">
        <f aca="false">E98&amp;".jpg"</f>
        <v>SAB-CMO-GSK-01.jpg</v>
      </c>
      <c r="G98" s="18" t="str">
        <f aca="false">IFERROR(INDEX(Series!$F$2:$F$30,MATCH(C98,Series!$B$2:$B$30,0)),"")</f>
        <v>CMO 14, CMO 16, CMO 18, CMO 24, CMO 26, CMO 28, TCMO 28</v>
      </c>
      <c r="H98" s="19"/>
      <c r="I98" s="19"/>
      <c r="J98" s="19"/>
      <c r="K98" s="19" t="s">
        <v>70</v>
      </c>
      <c r="L98" s="19"/>
      <c r="M98" s="19"/>
      <c r="N98" s="19"/>
      <c r="O98" s="18" t="str">
        <f aca="false">C98&amp;" "&amp;D98&amp;" spare part - Efforts Engineers"</f>
        <v>Sabroe CMO Series Gasket and Overhaul Kit spare part - Efforts Engineers</v>
      </c>
      <c r="P98" s="16" t="str">
        <f aca="false">IFERROR("/"&amp;LOWER(B98)&amp;"/"&amp;INDEX(Series!$D$2:$D$30,MATCH(C98,Series!$B$2:$B$30,0))&amp;"/"&amp;INDEX(Part_Categories!$C$2:$C$18,MATCH(D98,Part_Categories!$B$2:$B$18,0)),"CHECK")</f>
        <v>/sabroe/cmo/gasket-and-overhaul-kit</v>
      </c>
      <c r="Q98" s="19"/>
    </row>
    <row r="99" customFormat="false" ht="23.85" hidden="false" customHeight="false" outlineLevel="0" collapsed="false">
      <c r="A99" s="16" t="n">
        <f aca="false">ROW()-1</f>
        <v>98</v>
      </c>
      <c r="B99" s="17" t="s">
        <v>76</v>
      </c>
      <c r="C99" s="17" t="s">
        <v>111</v>
      </c>
      <c r="D99" s="17" t="s">
        <v>102</v>
      </c>
      <c r="E99" s="16" t="str">
        <f aca="false">IFERROR(INDEX(Lists!$B$2:$B$7,MATCH(B99,Lists!$A$2:$A$7,0))&amp;"-"&amp;INDEX(Series!$C$2:$C$30,MATCH(C99,Series!$B$2:$B$30,0))&amp;"-"&amp;INDEX(Part_Categories!$A$2:$A$18,MATCH(D99,Part_Categories!$B$2:$B$18,0))&amp;"-01","CHECK")</f>
        <v>SAB-CMO-OPA-01</v>
      </c>
      <c r="F99" s="16" t="str">
        <f aca="false">E99&amp;".jpg"</f>
        <v>SAB-CMO-OPA-01.jpg</v>
      </c>
      <c r="G99" s="18" t="str">
        <f aca="false">IFERROR(INDEX(Series!$F$2:$F$30,MATCH(C99,Series!$B$2:$B$30,0)),"")</f>
        <v>CMO 14, CMO 16, CMO 18, CMO 24, CMO 26, CMO 28, TCMO 28</v>
      </c>
      <c r="H99" s="19"/>
      <c r="I99" s="19"/>
      <c r="J99" s="19"/>
      <c r="K99" s="19" t="s">
        <v>70</v>
      </c>
      <c r="L99" s="19"/>
      <c r="M99" s="19"/>
      <c r="N99" s="19"/>
      <c r="O99" s="18" t="str">
        <f aca="false">C99&amp;" "&amp;D99&amp;" spare part - Efforts Engineers"</f>
        <v>Sabroe CMO Series Oil Pump Assembly spare part - Efforts Engineers</v>
      </c>
      <c r="P99" s="16" t="str">
        <f aca="false">IFERROR("/"&amp;LOWER(B99)&amp;"/"&amp;INDEX(Series!$D$2:$D$30,MATCH(C99,Series!$B$2:$B$30,0))&amp;"/"&amp;INDEX(Part_Categories!$C$2:$C$18,MATCH(D99,Part_Categories!$B$2:$B$18,0)),"CHECK")</f>
        <v>/sabroe/cmo/oil-pump-assembly</v>
      </c>
      <c r="Q99" s="19"/>
    </row>
    <row r="100" customFormat="false" ht="23.85" hidden="false" customHeight="false" outlineLevel="0" collapsed="false">
      <c r="A100" s="16" t="n">
        <f aca="false">ROW()-1</f>
        <v>99</v>
      </c>
      <c r="B100" s="17" t="s">
        <v>76</v>
      </c>
      <c r="C100" s="17" t="s">
        <v>111</v>
      </c>
      <c r="D100" s="17" t="s">
        <v>103</v>
      </c>
      <c r="E100" s="16" t="str">
        <f aca="false">IFERROR(INDEX(Lists!$B$2:$B$7,MATCH(B100,Lists!$A$2:$A$7,0))&amp;"-"&amp;INDEX(Series!$C$2:$C$30,MATCH(C100,Series!$B$2:$B$30,0))&amp;"-"&amp;INDEX(Part_Categories!$A$2:$A$18,MATCH(D100,Part_Categories!$B$2:$B$18,0))&amp;"-01","CHECK")</f>
        <v>SAB-CMO-SHS-01</v>
      </c>
      <c r="F100" s="16" t="str">
        <f aca="false">E100&amp;".jpg"</f>
        <v>SAB-CMO-SHS-01.jpg</v>
      </c>
      <c r="G100" s="18" t="str">
        <f aca="false">IFERROR(INDEX(Series!$F$2:$F$30,MATCH(C100,Series!$B$2:$B$30,0)),"")</f>
        <v>CMO 14, CMO 16, CMO 18, CMO 24, CMO 26, CMO 28, TCMO 28</v>
      </c>
      <c r="H100" s="19"/>
      <c r="I100" s="19"/>
      <c r="J100" s="19"/>
      <c r="K100" s="19" t="s">
        <v>70</v>
      </c>
      <c r="L100" s="19"/>
      <c r="M100" s="19"/>
      <c r="N100" s="19"/>
      <c r="O100" s="18" t="str">
        <f aca="false">C100&amp;" "&amp;D100&amp;" spare part - Efforts Engineers"</f>
        <v>Sabroe CMO Series Shaft Seal spare part - Efforts Engineers</v>
      </c>
      <c r="P100" s="16" t="str">
        <f aca="false">IFERROR("/"&amp;LOWER(B100)&amp;"/"&amp;INDEX(Series!$D$2:$D$30,MATCH(C100,Series!$B$2:$B$30,0))&amp;"/"&amp;INDEX(Part_Categories!$C$2:$C$18,MATCH(D100,Part_Categories!$B$2:$B$18,0)),"CHECK")</f>
        <v>/sabroe/cmo/shaft-seal</v>
      </c>
      <c r="Q100" s="19"/>
    </row>
    <row r="101" customFormat="false" ht="23.85" hidden="false" customHeight="false" outlineLevel="0" collapsed="false">
      <c r="A101" s="16" t="n">
        <f aca="false">ROW()-1</f>
        <v>100</v>
      </c>
      <c r="B101" s="17" t="s">
        <v>76</v>
      </c>
      <c r="C101" s="17" t="s">
        <v>111</v>
      </c>
      <c r="D101" s="17" t="s">
        <v>104</v>
      </c>
      <c r="E101" s="16" t="str">
        <f aca="false">IFERROR(INDEX(Lists!$B$2:$B$7,MATCH(B101,Lists!$A$2:$A$7,0))&amp;"-"&amp;INDEX(Series!$C$2:$C$30,MATCH(C101,Series!$B$2:$B$30,0))&amp;"-"&amp;INDEX(Part_Categories!$A$2:$A$18,MATCH(D101,Part_Categories!$B$2:$B$18,0))&amp;"-01","CHECK")</f>
        <v>SAB-CMO-FLT-01</v>
      </c>
      <c r="F101" s="16" t="str">
        <f aca="false">E101&amp;".jpg"</f>
        <v>SAB-CMO-FLT-01.jpg</v>
      </c>
      <c r="G101" s="18" t="str">
        <f aca="false">IFERROR(INDEX(Series!$F$2:$F$30,MATCH(C101,Series!$B$2:$B$30,0)),"")</f>
        <v>CMO 14, CMO 16, CMO 18, CMO 24, CMO 26, CMO 28, TCMO 28</v>
      </c>
      <c r="H101" s="19"/>
      <c r="I101" s="19"/>
      <c r="J101" s="19"/>
      <c r="K101" s="19" t="s">
        <v>70</v>
      </c>
      <c r="L101" s="19"/>
      <c r="M101" s="19"/>
      <c r="N101" s="19"/>
      <c r="O101" s="18" t="str">
        <f aca="false">C101&amp;" "&amp;D101&amp;" spare part - Efforts Engineers"</f>
        <v>Sabroe CMO Series Oil Filter and Strainer spare part - Efforts Engineers</v>
      </c>
      <c r="P101" s="16" t="str">
        <f aca="false">IFERROR("/"&amp;LOWER(B101)&amp;"/"&amp;INDEX(Series!$D$2:$D$30,MATCH(C101,Series!$B$2:$B$30,0))&amp;"/"&amp;INDEX(Part_Categories!$C$2:$C$18,MATCH(D101,Part_Categories!$B$2:$B$18,0)),"CHECK")</f>
        <v>/sabroe/cmo/oil-filter-and-strainer</v>
      </c>
      <c r="Q101" s="19"/>
    </row>
    <row r="102" customFormat="false" ht="23.85" hidden="false" customHeight="false" outlineLevel="0" collapsed="false">
      <c r="A102" s="16" t="n">
        <f aca="false">ROW()-1</f>
        <v>101</v>
      </c>
      <c r="B102" s="17" t="s">
        <v>76</v>
      </c>
      <c r="C102" s="17" t="s">
        <v>111</v>
      </c>
      <c r="D102" s="17" t="s">
        <v>105</v>
      </c>
      <c r="E102" s="16" t="str">
        <f aca="false">IFERROR(INDEX(Lists!$B$2:$B$7,MATCH(B102,Lists!$A$2:$A$7,0))&amp;"-"&amp;INDEX(Series!$C$2:$C$30,MATCH(C102,Series!$B$2:$B$30,0))&amp;"-"&amp;INDEX(Part_Categories!$A$2:$A$18,MATCH(D102,Part_Categories!$B$2:$B$18,0))&amp;"-01","CHECK")</f>
        <v>SAB-CMO-ULD-01</v>
      </c>
      <c r="F102" s="16" t="str">
        <f aca="false">E102&amp;".jpg"</f>
        <v>SAB-CMO-ULD-01.jpg</v>
      </c>
      <c r="G102" s="18" t="str">
        <f aca="false">IFERROR(INDEX(Series!$F$2:$F$30,MATCH(C102,Series!$B$2:$B$30,0)),"")</f>
        <v>CMO 14, CMO 16, CMO 18, CMO 24, CMO 26, CMO 28, TCMO 28</v>
      </c>
      <c r="H102" s="19"/>
      <c r="I102" s="19"/>
      <c r="J102" s="19"/>
      <c r="K102" s="19" t="s">
        <v>70</v>
      </c>
      <c r="L102" s="19"/>
      <c r="M102" s="19"/>
      <c r="N102" s="19"/>
      <c r="O102" s="18" t="str">
        <f aca="false">C102&amp;" "&amp;D102&amp;" spare part - Efforts Engineers"</f>
        <v>Sabroe CMO Series Unloader and Capacity Control spare part - Efforts Engineers</v>
      </c>
      <c r="P102" s="16" t="str">
        <f aca="false">IFERROR("/"&amp;LOWER(B102)&amp;"/"&amp;INDEX(Series!$D$2:$D$30,MATCH(C102,Series!$B$2:$B$30,0))&amp;"/"&amp;INDEX(Part_Categories!$C$2:$C$18,MATCH(D102,Part_Categories!$B$2:$B$18,0)),"CHECK")</f>
        <v>/sabroe/cmo/unloader-and-capacity-control</v>
      </c>
      <c r="Q102" s="19"/>
    </row>
    <row r="103" customFormat="false" ht="23.85" hidden="false" customHeight="false" outlineLevel="0" collapsed="false">
      <c r="A103" s="16" t="n">
        <f aca="false">ROW()-1</f>
        <v>102</v>
      </c>
      <c r="B103" s="17" t="s">
        <v>76</v>
      </c>
      <c r="C103" s="17" t="s">
        <v>111</v>
      </c>
      <c r="D103" s="17" t="s">
        <v>106</v>
      </c>
      <c r="E103" s="16" t="str">
        <f aca="false">IFERROR(INDEX(Lists!$B$2:$B$7,MATCH(B103,Lists!$A$2:$A$7,0))&amp;"-"&amp;INDEX(Series!$C$2:$C$30,MATCH(C103,Series!$B$2:$B$30,0))&amp;"-"&amp;INDEX(Part_Categories!$A$2:$A$18,MATCH(D103,Part_Categories!$B$2:$B$18,0))&amp;"-01","CHECK")</f>
        <v>SAB-CMO-SAF-01</v>
      </c>
      <c r="F103" s="16" t="str">
        <f aca="false">E103&amp;".jpg"</f>
        <v>SAB-CMO-SAF-01.jpg</v>
      </c>
      <c r="G103" s="18" t="str">
        <f aca="false">IFERROR(INDEX(Series!$F$2:$F$30,MATCH(C103,Series!$B$2:$B$30,0)),"")</f>
        <v>CMO 14, CMO 16, CMO 18, CMO 24, CMO 26, CMO 28, TCMO 28</v>
      </c>
      <c r="H103" s="19"/>
      <c r="I103" s="19"/>
      <c r="J103" s="19"/>
      <c r="K103" s="19" t="s">
        <v>70</v>
      </c>
      <c r="L103" s="19"/>
      <c r="M103" s="19"/>
      <c r="N103" s="19"/>
      <c r="O103" s="18" t="str">
        <f aca="false">C103&amp;" "&amp;D103&amp;" spare part - Efforts Engineers"</f>
        <v>Sabroe CMO Series Safety Head and Relief Valve spare part - Efforts Engineers</v>
      </c>
      <c r="P103" s="16" t="str">
        <f aca="false">IFERROR("/"&amp;LOWER(B103)&amp;"/"&amp;INDEX(Series!$D$2:$D$30,MATCH(C103,Series!$B$2:$B$30,0))&amp;"/"&amp;INDEX(Part_Categories!$C$2:$C$18,MATCH(D103,Part_Categories!$B$2:$B$18,0)),"CHECK")</f>
        <v>/sabroe/cmo/safety-head-and-relief-valve</v>
      </c>
      <c r="Q103" s="19"/>
    </row>
    <row r="104" customFormat="false" ht="23.85" hidden="false" customHeight="false" outlineLevel="0" collapsed="false">
      <c r="A104" s="16" t="n">
        <f aca="false">ROW()-1</f>
        <v>103</v>
      </c>
      <c r="B104" s="17" t="s">
        <v>76</v>
      </c>
      <c r="C104" s="17" t="s">
        <v>112</v>
      </c>
      <c r="D104" s="17" t="s">
        <v>58</v>
      </c>
      <c r="E104" s="16" t="str">
        <f aca="false">IFERROR(INDEX(Lists!$B$2:$B$7,MATCH(B104,Lists!$A$2:$A$7,0))&amp;"-"&amp;INDEX(Series!$C$2:$C$30,MATCH(C104,Series!$B$2:$B$30,0))&amp;"-"&amp;INDEX(Part_Categories!$A$2:$A$18,MATCH(D104,Part_Categories!$B$2:$B$18,0))&amp;"-01","CHECK")</f>
        <v>SAB-SMC65-CLN-01</v>
      </c>
      <c r="F104" s="16" t="str">
        <f aca="false">E104&amp;".jpg"</f>
        <v>SAB-SMC65-CLN-01.jpg</v>
      </c>
      <c r="G104" s="18" t="str">
        <f aca="false">IFERROR(INDEX(Series!$F$2:$F$30,MATCH(C104,Series!$B$2:$B$30,0)),"")</f>
        <v>SMC 2-65, SMC 3-65, SMC 4-65, SMC 6-65, SMC 8-65, SMC 10-65, TSMC 8-65</v>
      </c>
      <c r="H104" s="19"/>
      <c r="I104" s="19"/>
      <c r="J104" s="19"/>
      <c r="K104" s="19" t="s">
        <v>70</v>
      </c>
      <c r="L104" s="19"/>
      <c r="M104" s="19"/>
      <c r="N104" s="19"/>
      <c r="O104" s="18" t="str">
        <f aca="false">C104&amp;" "&amp;D104&amp;" spare part - Efforts Engineers"</f>
        <v>Sabroe SMC 65 Series Cylinder Liner spare part - Efforts Engineers</v>
      </c>
      <c r="P104" s="16" t="str">
        <f aca="false">IFERROR("/"&amp;LOWER(B104)&amp;"/"&amp;INDEX(Series!$D$2:$D$30,MATCH(C104,Series!$B$2:$B$30,0))&amp;"/"&amp;INDEX(Part_Categories!$C$2:$C$18,MATCH(D104,Part_Categories!$B$2:$B$18,0)),"CHECK")</f>
        <v>/sabroe/smc-65/cylinder-liner</v>
      </c>
      <c r="Q104" s="19"/>
    </row>
    <row r="105" customFormat="false" ht="23.85" hidden="false" customHeight="false" outlineLevel="0" collapsed="false">
      <c r="A105" s="16" t="n">
        <f aca="false">ROW()-1</f>
        <v>104</v>
      </c>
      <c r="B105" s="17" t="s">
        <v>76</v>
      </c>
      <c r="C105" s="17" t="s">
        <v>112</v>
      </c>
      <c r="D105" s="17" t="s">
        <v>91</v>
      </c>
      <c r="E105" s="16" t="str">
        <f aca="false">IFERROR(INDEX(Lists!$B$2:$B$7,MATCH(B105,Lists!$A$2:$A$7,0))&amp;"-"&amp;INDEX(Series!$C$2:$C$30,MATCH(C105,Series!$B$2:$B$30,0))&amp;"-"&amp;INDEX(Part_Categories!$A$2:$A$18,MATCH(D105,Part_Categories!$B$2:$B$18,0))&amp;"-01","CHECK")</f>
        <v>SAB-SMC65-PST-01</v>
      </c>
      <c r="F105" s="16" t="str">
        <f aca="false">E105&amp;".jpg"</f>
        <v>SAB-SMC65-PST-01.jpg</v>
      </c>
      <c r="G105" s="18" t="str">
        <f aca="false">IFERROR(INDEX(Series!$F$2:$F$30,MATCH(C105,Series!$B$2:$B$30,0)),"")</f>
        <v>SMC 2-65, SMC 3-65, SMC 4-65, SMC 6-65, SMC 8-65, SMC 10-65, TSMC 8-65</v>
      </c>
      <c r="H105" s="19"/>
      <c r="I105" s="19"/>
      <c r="J105" s="19"/>
      <c r="K105" s="19" t="s">
        <v>70</v>
      </c>
      <c r="L105" s="19"/>
      <c r="M105" s="19"/>
      <c r="N105" s="19"/>
      <c r="O105" s="18" t="str">
        <f aca="false">C105&amp;" "&amp;D105&amp;" spare part - Efforts Engineers"</f>
        <v>Sabroe SMC 65 Series Piston Assembly spare part - Efforts Engineers</v>
      </c>
      <c r="P105" s="16" t="str">
        <f aca="false">IFERROR("/"&amp;LOWER(B105)&amp;"/"&amp;INDEX(Series!$D$2:$D$30,MATCH(C105,Series!$B$2:$B$30,0))&amp;"/"&amp;INDEX(Part_Categories!$C$2:$C$18,MATCH(D105,Part_Categories!$B$2:$B$18,0)),"CHECK")</f>
        <v>/sabroe/smc-65/piston-assembly</v>
      </c>
      <c r="Q105" s="19"/>
    </row>
    <row r="106" customFormat="false" ht="23.85" hidden="false" customHeight="false" outlineLevel="0" collapsed="false">
      <c r="A106" s="16" t="n">
        <f aca="false">ROW()-1</f>
        <v>105</v>
      </c>
      <c r="B106" s="17" t="s">
        <v>76</v>
      </c>
      <c r="C106" s="17" t="s">
        <v>112</v>
      </c>
      <c r="D106" s="17" t="s">
        <v>92</v>
      </c>
      <c r="E106" s="16" t="str">
        <f aca="false">IFERROR(INDEX(Lists!$B$2:$B$7,MATCH(B106,Lists!$A$2:$A$7,0))&amp;"-"&amp;INDEX(Series!$C$2:$C$30,MATCH(C106,Series!$B$2:$B$30,0))&amp;"-"&amp;INDEX(Part_Categories!$A$2:$A$18,MATCH(D106,Part_Categories!$B$2:$B$18,0))&amp;"-01","CHECK")</f>
        <v>SAB-SMC65-PRG-01</v>
      </c>
      <c r="F106" s="16" t="str">
        <f aca="false">E106&amp;".jpg"</f>
        <v>SAB-SMC65-PRG-01.jpg</v>
      </c>
      <c r="G106" s="18" t="str">
        <f aca="false">IFERROR(INDEX(Series!$F$2:$F$30,MATCH(C106,Series!$B$2:$B$30,0)),"")</f>
        <v>SMC 2-65, SMC 3-65, SMC 4-65, SMC 6-65, SMC 8-65, SMC 10-65, TSMC 8-65</v>
      </c>
      <c r="H106" s="19"/>
      <c r="I106" s="19"/>
      <c r="J106" s="19"/>
      <c r="K106" s="19" t="s">
        <v>70</v>
      </c>
      <c r="L106" s="19"/>
      <c r="M106" s="19"/>
      <c r="N106" s="19"/>
      <c r="O106" s="18" t="str">
        <f aca="false">C106&amp;" "&amp;D106&amp;" spare part - Efforts Engineers"</f>
        <v>Sabroe SMC 65 Series Piston Ring Set spare part - Efforts Engineers</v>
      </c>
      <c r="P106" s="16" t="str">
        <f aca="false">IFERROR("/"&amp;LOWER(B106)&amp;"/"&amp;INDEX(Series!$D$2:$D$30,MATCH(C106,Series!$B$2:$B$30,0))&amp;"/"&amp;INDEX(Part_Categories!$C$2:$C$18,MATCH(D106,Part_Categories!$B$2:$B$18,0)),"CHECK")</f>
        <v>/sabroe/smc-65/piston-ring-set</v>
      </c>
      <c r="Q106" s="19"/>
    </row>
    <row r="107" customFormat="false" ht="23.85" hidden="false" customHeight="false" outlineLevel="0" collapsed="false">
      <c r="A107" s="16" t="n">
        <f aca="false">ROW()-1</f>
        <v>106</v>
      </c>
      <c r="B107" s="17" t="s">
        <v>76</v>
      </c>
      <c r="C107" s="17" t="s">
        <v>112</v>
      </c>
      <c r="D107" s="17" t="s">
        <v>93</v>
      </c>
      <c r="E107" s="16" t="str">
        <f aca="false">IFERROR(INDEX(Lists!$B$2:$B$7,MATCH(B107,Lists!$A$2:$A$7,0))&amp;"-"&amp;INDEX(Series!$C$2:$C$30,MATCH(C107,Series!$B$2:$B$30,0))&amp;"-"&amp;INDEX(Part_Categories!$A$2:$A$18,MATCH(D107,Part_Categories!$B$2:$B$18,0))&amp;"-01","CHECK")</f>
        <v>SAB-SMC65-CRD-01</v>
      </c>
      <c r="F107" s="16" t="str">
        <f aca="false">E107&amp;".jpg"</f>
        <v>SAB-SMC65-CRD-01.jpg</v>
      </c>
      <c r="G107" s="18" t="str">
        <f aca="false">IFERROR(INDEX(Series!$F$2:$F$30,MATCH(C107,Series!$B$2:$B$30,0)),"")</f>
        <v>SMC 2-65, SMC 3-65, SMC 4-65, SMC 6-65, SMC 8-65, SMC 10-65, TSMC 8-65</v>
      </c>
      <c r="H107" s="19"/>
      <c r="I107" s="19"/>
      <c r="J107" s="19"/>
      <c r="K107" s="19" t="s">
        <v>70</v>
      </c>
      <c r="L107" s="19"/>
      <c r="M107" s="19"/>
      <c r="N107" s="19"/>
      <c r="O107" s="18" t="str">
        <f aca="false">C107&amp;" "&amp;D107&amp;" spare part - Efforts Engineers"</f>
        <v>Sabroe SMC 65 Series Connecting Rod spare part - Efforts Engineers</v>
      </c>
      <c r="P107" s="16" t="str">
        <f aca="false">IFERROR("/"&amp;LOWER(B107)&amp;"/"&amp;INDEX(Series!$D$2:$D$30,MATCH(C107,Series!$B$2:$B$30,0))&amp;"/"&amp;INDEX(Part_Categories!$C$2:$C$18,MATCH(D107,Part_Categories!$B$2:$B$18,0)),"CHECK")</f>
        <v>/sabroe/smc-65/connecting-rod</v>
      </c>
      <c r="Q107" s="19"/>
    </row>
    <row r="108" customFormat="false" ht="23.85" hidden="false" customHeight="false" outlineLevel="0" collapsed="false">
      <c r="A108" s="16" t="n">
        <f aca="false">ROW()-1</f>
        <v>107</v>
      </c>
      <c r="B108" s="17" t="s">
        <v>76</v>
      </c>
      <c r="C108" s="17" t="s">
        <v>112</v>
      </c>
      <c r="D108" s="17" t="s">
        <v>94</v>
      </c>
      <c r="E108" s="16" t="str">
        <f aca="false">IFERROR(INDEX(Lists!$B$2:$B$7,MATCH(B108,Lists!$A$2:$A$7,0))&amp;"-"&amp;INDEX(Series!$C$2:$C$30,MATCH(C108,Series!$B$2:$B$30,0))&amp;"-"&amp;INDEX(Part_Categories!$A$2:$A$18,MATCH(D108,Part_Categories!$B$2:$B$18,0))&amp;"-01","CHECK")</f>
        <v>SAB-SMC65-CRK-01</v>
      </c>
      <c r="F108" s="16" t="str">
        <f aca="false">E108&amp;".jpg"</f>
        <v>SAB-SMC65-CRK-01.jpg</v>
      </c>
      <c r="G108" s="18" t="str">
        <f aca="false">IFERROR(INDEX(Series!$F$2:$F$30,MATCH(C108,Series!$B$2:$B$30,0)),"")</f>
        <v>SMC 2-65, SMC 3-65, SMC 4-65, SMC 6-65, SMC 8-65, SMC 10-65, TSMC 8-65</v>
      </c>
      <c r="H108" s="19"/>
      <c r="I108" s="19"/>
      <c r="J108" s="19"/>
      <c r="K108" s="19" t="s">
        <v>70</v>
      </c>
      <c r="L108" s="19"/>
      <c r="M108" s="19"/>
      <c r="N108" s="19"/>
      <c r="O108" s="18" t="str">
        <f aca="false">C108&amp;" "&amp;D108&amp;" spare part - Efforts Engineers"</f>
        <v>Sabroe SMC 65 Series Crankshaft spare part - Efforts Engineers</v>
      </c>
      <c r="P108" s="16" t="str">
        <f aca="false">IFERROR("/"&amp;LOWER(B108)&amp;"/"&amp;INDEX(Series!$D$2:$D$30,MATCH(C108,Series!$B$2:$B$30,0))&amp;"/"&amp;INDEX(Part_Categories!$C$2:$C$18,MATCH(D108,Part_Categories!$B$2:$B$18,0)),"CHECK")</f>
        <v>/sabroe/smc-65/crankshaft</v>
      </c>
      <c r="Q108" s="19"/>
    </row>
    <row r="109" customFormat="false" ht="23.85" hidden="false" customHeight="false" outlineLevel="0" collapsed="false">
      <c r="A109" s="16" t="n">
        <f aca="false">ROW()-1</f>
        <v>108</v>
      </c>
      <c r="B109" s="17" t="s">
        <v>76</v>
      </c>
      <c r="C109" s="17" t="s">
        <v>112</v>
      </c>
      <c r="D109" s="17" t="s">
        <v>95</v>
      </c>
      <c r="E109" s="16" t="str">
        <f aca="false">IFERROR(INDEX(Lists!$B$2:$B$7,MATCH(B109,Lists!$A$2:$A$7,0))&amp;"-"&amp;INDEX(Series!$C$2:$C$30,MATCH(C109,Series!$B$2:$B$30,0))&amp;"-"&amp;INDEX(Part_Categories!$A$2:$A$18,MATCH(D109,Part_Categories!$B$2:$B$18,0))&amp;"-01","CHECK")</f>
        <v>SAB-SMC65-PIN-01</v>
      </c>
      <c r="F109" s="16" t="str">
        <f aca="false">E109&amp;".jpg"</f>
        <v>SAB-SMC65-PIN-01.jpg</v>
      </c>
      <c r="G109" s="18" t="str">
        <f aca="false">IFERROR(INDEX(Series!$F$2:$F$30,MATCH(C109,Series!$B$2:$B$30,0)),"")</f>
        <v>SMC 2-65, SMC 3-65, SMC 4-65, SMC 6-65, SMC 8-65, SMC 10-65, TSMC 8-65</v>
      </c>
      <c r="H109" s="19"/>
      <c r="I109" s="19"/>
      <c r="J109" s="19"/>
      <c r="K109" s="19" t="s">
        <v>70</v>
      </c>
      <c r="L109" s="19"/>
      <c r="M109" s="19"/>
      <c r="N109" s="19"/>
      <c r="O109" s="18" t="str">
        <f aca="false">C109&amp;" "&amp;D109&amp;" spare part - Efforts Engineers"</f>
        <v>Sabroe SMC 65 Series Gudgeon Pin and Bush spare part - Efforts Engineers</v>
      </c>
      <c r="P109" s="16" t="str">
        <f aca="false">IFERROR("/"&amp;LOWER(B109)&amp;"/"&amp;INDEX(Series!$D$2:$D$30,MATCH(C109,Series!$B$2:$B$30,0))&amp;"/"&amp;INDEX(Part_Categories!$C$2:$C$18,MATCH(D109,Part_Categories!$B$2:$B$18,0)),"CHECK")</f>
        <v>/sabroe/smc-65/gudgeon-pin-and-bush</v>
      </c>
      <c r="Q109" s="19"/>
    </row>
    <row r="110" customFormat="false" ht="23.85" hidden="false" customHeight="false" outlineLevel="0" collapsed="false">
      <c r="A110" s="16" t="n">
        <f aca="false">ROW()-1</f>
        <v>109</v>
      </c>
      <c r="B110" s="17" t="s">
        <v>76</v>
      </c>
      <c r="C110" s="17" t="s">
        <v>112</v>
      </c>
      <c r="D110" s="17" t="s">
        <v>96</v>
      </c>
      <c r="E110" s="16" t="str">
        <f aca="false">IFERROR(INDEX(Lists!$B$2:$B$7,MATCH(B110,Lists!$A$2:$A$7,0))&amp;"-"&amp;INDEX(Series!$C$2:$C$30,MATCH(C110,Series!$B$2:$B$30,0))&amp;"-"&amp;INDEX(Part_Categories!$A$2:$A$18,MATCH(D110,Part_Categories!$B$2:$B$18,0))&amp;"-01","CHECK")</f>
        <v>SAB-SMC65-BRG-01</v>
      </c>
      <c r="F110" s="16" t="str">
        <f aca="false">E110&amp;".jpg"</f>
        <v>SAB-SMC65-BRG-01.jpg</v>
      </c>
      <c r="G110" s="18" t="str">
        <f aca="false">IFERROR(INDEX(Series!$F$2:$F$30,MATCH(C110,Series!$B$2:$B$30,0)),"")</f>
        <v>SMC 2-65, SMC 3-65, SMC 4-65, SMC 6-65, SMC 8-65, SMC 10-65, TSMC 8-65</v>
      </c>
      <c r="H110" s="19"/>
      <c r="I110" s="19"/>
      <c r="J110" s="19"/>
      <c r="K110" s="19" t="s">
        <v>70</v>
      </c>
      <c r="L110" s="19"/>
      <c r="M110" s="19"/>
      <c r="N110" s="19"/>
      <c r="O110" s="18" t="str">
        <f aca="false">C110&amp;" "&amp;D110&amp;" spare part - Efforts Engineers"</f>
        <v>Sabroe SMC 65 Series Main Bearing and Bush spare part - Efforts Engineers</v>
      </c>
      <c r="P110" s="16" t="str">
        <f aca="false">IFERROR("/"&amp;LOWER(B110)&amp;"/"&amp;INDEX(Series!$D$2:$D$30,MATCH(C110,Series!$B$2:$B$30,0))&amp;"/"&amp;INDEX(Part_Categories!$C$2:$C$18,MATCH(D110,Part_Categories!$B$2:$B$18,0)),"CHECK")</f>
        <v>/sabroe/smc-65/main-bearing-and-bush</v>
      </c>
      <c r="Q110" s="19"/>
    </row>
    <row r="111" customFormat="false" ht="23.85" hidden="false" customHeight="false" outlineLevel="0" collapsed="false">
      <c r="A111" s="16" t="n">
        <f aca="false">ROW()-1</f>
        <v>110</v>
      </c>
      <c r="B111" s="17" t="s">
        <v>76</v>
      </c>
      <c r="C111" s="17" t="s">
        <v>112</v>
      </c>
      <c r="D111" s="17" t="s">
        <v>97</v>
      </c>
      <c r="E111" s="16" t="str">
        <f aca="false">IFERROR(INDEX(Lists!$B$2:$B$7,MATCH(B111,Lists!$A$2:$A$7,0))&amp;"-"&amp;INDEX(Series!$C$2:$C$30,MATCH(C111,Series!$B$2:$B$30,0))&amp;"-"&amp;INDEX(Part_Categories!$A$2:$A$18,MATCH(D111,Part_Categories!$B$2:$B$18,0))&amp;"-01","CHECK")</f>
        <v>SAB-SMC65-SVP-01</v>
      </c>
      <c r="F111" s="16" t="str">
        <f aca="false">E111&amp;".jpg"</f>
        <v>SAB-SMC65-SVP-01.jpg</v>
      </c>
      <c r="G111" s="18" t="str">
        <f aca="false">IFERROR(INDEX(Series!$F$2:$F$30,MATCH(C111,Series!$B$2:$B$30,0)),"")</f>
        <v>SMC 2-65, SMC 3-65, SMC 4-65, SMC 6-65, SMC 8-65, SMC 10-65, TSMC 8-65</v>
      </c>
      <c r="H111" s="19"/>
      <c r="I111" s="19"/>
      <c r="J111" s="19"/>
      <c r="K111" s="19" t="s">
        <v>70</v>
      </c>
      <c r="L111" s="19"/>
      <c r="M111" s="19"/>
      <c r="N111" s="19"/>
      <c r="O111" s="18" t="str">
        <f aca="false">C111&amp;" "&amp;D111&amp;" spare part - Efforts Engineers"</f>
        <v>Sabroe SMC 65 Series Suction Valve Plate spare part - Efforts Engineers</v>
      </c>
      <c r="P111" s="16" t="str">
        <f aca="false">IFERROR("/"&amp;LOWER(B111)&amp;"/"&amp;INDEX(Series!$D$2:$D$30,MATCH(C111,Series!$B$2:$B$30,0))&amp;"/"&amp;INDEX(Part_Categories!$C$2:$C$18,MATCH(D111,Part_Categories!$B$2:$B$18,0)),"CHECK")</f>
        <v>/sabroe/smc-65/suction-valve-plate</v>
      </c>
      <c r="Q111" s="19"/>
    </row>
    <row r="112" customFormat="false" ht="23.85" hidden="false" customHeight="false" outlineLevel="0" collapsed="false">
      <c r="A112" s="16" t="n">
        <f aca="false">ROW()-1</f>
        <v>111</v>
      </c>
      <c r="B112" s="17" t="s">
        <v>76</v>
      </c>
      <c r="C112" s="17" t="s">
        <v>112</v>
      </c>
      <c r="D112" s="17" t="s">
        <v>98</v>
      </c>
      <c r="E112" s="16" t="str">
        <f aca="false">IFERROR(INDEX(Lists!$B$2:$B$7,MATCH(B112,Lists!$A$2:$A$7,0))&amp;"-"&amp;INDEX(Series!$C$2:$C$30,MATCH(C112,Series!$B$2:$B$30,0))&amp;"-"&amp;INDEX(Part_Categories!$A$2:$A$18,MATCH(D112,Part_Categories!$B$2:$B$18,0))&amp;"-01","CHECK")</f>
        <v>SAB-SMC65-DVA-01</v>
      </c>
      <c r="F112" s="16" t="str">
        <f aca="false">E112&amp;".jpg"</f>
        <v>SAB-SMC65-DVA-01.jpg</v>
      </c>
      <c r="G112" s="18" t="str">
        <f aca="false">IFERROR(INDEX(Series!$F$2:$F$30,MATCH(C112,Series!$B$2:$B$30,0)),"")</f>
        <v>SMC 2-65, SMC 3-65, SMC 4-65, SMC 6-65, SMC 8-65, SMC 10-65, TSMC 8-65</v>
      </c>
      <c r="H112" s="19"/>
      <c r="I112" s="19"/>
      <c r="J112" s="19"/>
      <c r="K112" s="19" t="s">
        <v>70</v>
      </c>
      <c r="L112" s="19"/>
      <c r="M112" s="19"/>
      <c r="N112" s="19"/>
      <c r="O112" s="18" t="str">
        <f aca="false">C112&amp;" "&amp;D112&amp;" spare part - Efforts Engineers"</f>
        <v>Sabroe SMC 65 Series Discharge Valve Assembly spare part - Efforts Engineers</v>
      </c>
      <c r="P112" s="16" t="str">
        <f aca="false">IFERROR("/"&amp;LOWER(B112)&amp;"/"&amp;INDEX(Series!$D$2:$D$30,MATCH(C112,Series!$B$2:$B$30,0))&amp;"/"&amp;INDEX(Part_Categories!$C$2:$C$18,MATCH(D112,Part_Categories!$B$2:$B$18,0)),"CHECK")</f>
        <v>/sabroe/smc-65/discharge-valve-assembly</v>
      </c>
      <c r="Q112" s="19"/>
    </row>
    <row r="113" customFormat="false" ht="23.85" hidden="false" customHeight="false" outlineLevel="0" collapsed="false">
      <c r="A113" s="16" t="n">
        <f aca="false">ROW()-1</f>
        <v>112</v>
      </c>
      <c r="B113" s="17" t="s">
        <v>76</v>
      </c>
      <c r="C113" s="17" t="s">
        <v>112</v>
      </c>
      <c r="D113" s="17" t="s">
        <v>99</v>
      </c>
      <c r="E113" s="16" t="str">
        <f aca="false">IFERROR(INDEX(Lists!$B$2:$B$7,MATCH(B113,Lists!$A$2:$A$7,0))&amp;"-"&amp;INDEX(Series!$C$2:$C$30,MATCH(C113,Series!$B$2:$B$30,0))&amp;"-"&amp;INDEX(Part_Categories!$A$2:$A$18,MATCH(D113,Part_Categories!$B$2:$B$18,0))&amp;"-01","CHECK")</f>
        <v>SAB-SMC65-VSP-01</v>
      </c>
      <c r="F113" s="16" t="str">
        <f aca="false">E113&amp;".jpg"</f>
        <v>SAB-SMC65-VSP-01.jpg</v>
      </c>
      <c r="G113" s="18" t="str">
        <f aca="false">IFERROR(INDEX(Series!$F$2:$F$30,MATCH(C113,Series!$B$2:$B$30,0)),"")</f>
        <v>SMC 2-65, SMC 3-65, SMC 4-65, SMC 6-65, SMC 8-65, SMC 10-65, TSMC 8-65</v>
      </c>
      <c r="H113" s="19"/>
      <c r="I113" s="19"/>
      <c r="J113" s="19"/>
      <c r="K113" s="19" t="s">
        <v>70</v>
      </c>
      <c r="L113" s="19"/>
      <c r="M113" s="19"/>
      <c r="N113" s="19"/>
      <c r="O113" s="18" t="str">
        <f aca="false">C113&amp;" "&amp;D113&amp;" spare part - Efforts Engineers"</f>
        <v>Sabroe SMC 65 Series Valve Spring and Cage spare part - Efforts Engineers</v>
      </c>
      <c r="P113" s="16" t="str">
        <f aca="false">IFERROR("/"&amp;LOWER(B113)&amp;"/"&amp;INDEX(Series!$D$2:$D$30,MATCH(C113,Series!$B$2:$B$30,0))&amp;"/"&amp;INDEX(Part_Categories!$C$2:$C$18,MATCH(D113,Part_Categories!$B$2:$B$18,0)),"CHECK")</f>
        <v>/sabroe/smc-65/valve-spring-and-cage</v>
      </c>
      <c r="Q113" s="19"/>
    </row>
    <row r="114" customFormat="false" ht="23.85" hidden="false" customHeight="false" outlineLevel="0" collapsed="false">
      <c r="A114" s="16" t="n">
        <f aca="false">ROW()-1</f>
        <v>113</v>
      </c>
      <c r="B114" s="17" t="s">
        <v>76</v>
      </c>
      <c r="C114" s="17" t="s">
        <v>112</v>
      </c>
      <c r="D114" s="17" t="s">
        <v>100</v>
      </c>
      <c r="E114" s="16" t="str">
        <f aca="false">IFERROR(INDEX(Lists!$B$2:$B$7,MATCH(B114,Lists!$A$2:$A$7,0))&amp;"-"&amp;INDEX(Series!$C$2:$C$30,MATCH(C114,Series!$B$2:$B$30,0))&amp;"-"&amp;INDEX(Part_Categories!$A$2:$A$18,MATCH(D114,Part_Categories!$B$2:$B$18,0))&amp;"-01","CHECK")</f>
        <v>SAB-SMC65-HDC-01</v>
      </c>
      <c r="F114" s="16" t="str">
        <f aca="false">E114&amp;".jpg"</f>
        <v>SAB-SMC65-HDC-01.jpg</v>
      </c>
      <c r="G114" s="18" t="str">
        <f aca="false">IFERROR(INDEX(Series!$F$2:$F$30,MATCH(C114,Series!$B$2:$B$30,0)),"")</f>
        <v>SMC 2-65, SMC 3-65, SMC 4-65, SMC 6-65, SMC 8-65, SMC 10-65, TSMC 8-65</v>
      </c>
      <c r="H114" s="19"/>
      <c r="I114" s="19"/>
      <c r="J114" s="19"/>
      <c r="K114" s="19" t="s">
        <v>70</v>
      </c>
      <c r="L114" s="19"/>
      <c r="M114" s="19"/>
      <c r="N114" s="19"/>
      <c r="O114" s="18" t="str">
        <f aca="false">C114&amp;" "&amp;D114&amp;" spare part - Efforts Engineers"</f>
        <v>Sabroe SMC 65 Series Cylinder Head Cover spare part - Efforts Engineers</v>
      </c>
      <c r="P114" s="16" t="str">
        <f aca="false">IFERROR("/"&amp;LOWER(B114)&amp;"/"&amp;INDEX(Series!$D$2:$D$30,MATCH(C114,Series!$B$2:$B$30,0))&amp;"/"&amp;INDEX(Part_Categories!$C$2:$C$18,MATCH(D114,Part_Categories!$B$2:$B$18,0)),"CHECK")</f>
        <v>/sabroe/smc-65/cylinder-head-cover</v>
      </c>
      <c r="Q114" s="19"/>
    </row>
    <row r="115" customFormat="false" ht="23.85" hidden="false" customHeight="false" outlineLevel="0" collapsed="false">
      <c r="A115" s="16" t="n">
        <f aca="false">ROW()-1</f>
        <v>114</v>
      </c>
      <c r="B115" s="17" t="s">
        <v>76</v>
      </c>
      <c r="C115" s="17" t="s">
        <v>112</v>
      </c>
      <c r="D115" s="17" t="s">
        <v>101</v>
      </c>
      <c r="E115" s="16" t="str">
        <f aca="false">IFERROR(INDEX(Lists!$B$2:$B$7,MATCH(B115,Lists!$A$2:$A$7,0))&amp;"-"&amp;INDEX(Series!$C$2:$C$30,MATCH(C115,Series!$B$2:$B$30,0))&amp;"-"&amp;INDEX(Part_Categories!$A$2:$A$18,MATCH(D115,Part_Categories!$B$2:$B$18,0))&amp;"-01","CHECK")</f>
        <v>SAB-SMC65-GSK-01</v>
      </c>
      <c r="F115" s="16" t="str">
        <f aca="false">E115&amp;".jpg"</f>
        <v>SAB-SMC65-GSK-01.jpg</v>
      </c>
      <c r="G115" s="18" t="str">
        <f aca="false">IFERROR(INDEX(Series!$F$2:$F$30,MATCH(C115,Series!$B$2:$B$30,0)),"")</f>
        <v>SMC 2-65, SMC 3-65, SMC 4-65, SMC 6-65, SMC 8-65, SMC 10-65, TSMC 8-65</v>
      </c>
      <c r="H115" s="19"/>
      <c r="I115" s="19"/>
      <c r="J115" s="19"/>
      <c r="K115" s="19" t="s">
        <v>70</v>
      </c>
      <c r="L115" s="19"/>
      <c r="M115" s="19"/>
      <c r="N115" s="19"/>
      <c r="O115" s="18" t="str">
        <f aca="false">C115&amp;" "&amp;D115&amp;" spare part - Efforts Engineers"</f>
        <v>Sabroe SMC 65 Series Gasket and Overhaul Kit spare part - Efforts Engineers</v>
      </c>
      <c r="P115" s="16" t="str">
        <f aca="false">IFERROR("/"&amp;LOWER(B115)&amp;"/"&amp;INDEX(Series!$D$2:$D$30,MATCH(C115,Series!$B$2:$B$30,0))&amp;"/"&amp;INDEX(Part_Categories!$C$2:$C$18,MATCH(D115,Part_Categories!$B$2:$B$18,0)),"CHECK")</f>
        <v>/sabroe/smc-65/gasket-and-overhaul-kit</v>
      </c>
      <c r="Q115" s="19"/>
    </row>
    <row r="116" customFormat="false" ht="23.85" hidden="false" customHeight="false" outlineLevel="0" collapsed="false">
      <c r="A116" s="16" t="n">
        <f aca="false">ROW()-1</f>
        <v>115</v>
      </c>
      <c r="B116" s="17" t="s">
        <v>76</v>
      </c>
      <c r="C116" s="17" t="s">
        <v>112</v>
      </c>
      <c r="D116" s="17" t="s">
        <v>102</v>
      </c>
      <c r="E116" s="16" t="str">
        <f aca="false">IFERROR(INDEX(Lists!$B$2:$B$7,MATCH(B116,Lists!$A$2:$A$7,0))&amp;"-"&amp;INDEX(Series!$C$2:$C$30,MATCH(C116,Series!$B$2:$B$30,0))&amp;"-"&amp;INDEX(Part_Categories!$A$2:$A$18,MATCH(D116,Part_Categories!$B$2:$B$18,0))&amp;"-01","CHECK")</f>
        <v>SAB-SMC65-OPA-01</v>
      </c>
      <c r="F116" s="16" t="str">
        <f aca="false">E116&amp;".jpg"</f>
        <v>SAB-SMC65-OPA-01.jpg</v>
      </c>
      <c r="G116" s="18" t="str">
        <f aca="false">IFERROR(INDEX(Series!$F$2:$F$30,MATCH(C116,Series!$B$2:$B$30,0)),"")</f>
        <v>SMC 2-65, SMC 3-65, SMC 4-65, SMC 6-65, SMC 8-65, SMC 10-65, TSMC 8-65</v>
      </c>
      <c r="H116" s="19"/>
      <c r="I116" s="19"/>
      <c r="J116" s="19"/>
      <c r="K116" s="19" t="s">
        <v>70</v>
      </c>
      <c r="L116" s="19"/>
      <c r="M116" s="19"/>
      <c r="N116" s="19"/>
      <c r="O116" s="18" t="str">
        <f aca="false">C116&amp;" "&amp;D116&amp;" spare part - Efforts Engineers"</f>
        <v>Sabroe SMC 65 Series Oil Pump Assembly spare part - Efforts Engineers</v>
      </c>
      <c r="P116" s="16" t="str">
        <f aca="false">IFERROR("/"&amp;LOWER(B116)&amp;"/"&amp;INDEX(Series!$D$2:$D$30,MATCH(C116,Series!$B$2:$B$30,0))&amp;"/"&amp;INDEX(Part_Categories!$C$2:$C$18,MATCH(D116,Part_Categories!$B$2:$B$18,0)),"CHECK")</f>
        <v>/sabroe/smc-65/oil-pump-assembly</v>
      </c>
      <c r="Q116" s="19"/>
    </row>
    <row r="117" customFormat="false" ht="23.85" hidden="false" customHeight="false" outlineLevel="0" collapsed="false">
      <c r="A117" s="16" t="n">
        <f aca="false">ROW()-1</f>
        <v>116</v>
      </c>
      <c r="B117" s="17" t="s">
        <v>76</v>
      </c>
      <c r="C117" s="17" t="s">
        <v>112</v>
      </c>
      <c r="D117" s="17" t="s">
        <v>103</v>
      </c>
      <c r="E117" s="16" t="str">
        <f aca="false">IFERROR(INDEX(Lists!$B$2:$B$7,MATCH(B117,Lists!$A$2:$A$7,0))&amp;"-"&amp;INDEX(Series!$C$2:$C$30,MATCH(C117,Series!$B$2:$B$30,0))&amp;"-"&amp;INDEX(Part_Categories!$A$2:$A$18,MATCH(D117,Part_Categories!$B$2:$B$18,0))&amp;"-01","CHECK")</f>
        <v>SAB-SMC65-SHS-01</v>
      </c>
      <c r="F117" s="16" t="str">
        <f aca="false">E117&amp;".jpg"</f>
        <v>SAB-SMC65-SHS-01.jpg</v>
      </c>
      <c r="G117" s="18" t="str">
        <f aca="false">IFERROR(INDEX(Series!$F$2:$F$30,MATCH(C117,Series!$B$2:$B$30,0)),"")</f>
        <v>SMC 2-65, SMC 3-65, SMC 4-65, SMC 6-65, SMC 8-65, SMC 10-65, TSMC 8-65</v>
      </c>
      <c r="H117" s="19"/>
      <c r="I117" s="19"/>
      <c r="J117" s="19"/>
      <c r="K117" s="19" t="s">
        <v>70</v>
      </c>
      <c r="L117" s="19"/>
      <c r="M117" s="19"/>
      <c r="N117" s="19"/>
      <c r="O117" s="18" t="str">
        <f aca="false">C117&amp;" "&amp;D117&amp;" spare part - Efforts Engineers"</f>
        <v>Sabroe SMC 65 Series Shaft Seal spare part - Efforts Engineers</v>
      </c>
      <c r="P117" s="16" t="str">
        <f aca="false">IFERROR("/"&amp;LOWER(B117)&amp;"/"&amp;INDEX(Series!$D$2:$D$30,MATCH(C117,Series!$B$2:$B$30,0))&amp;"/"&amp;INDEX(Part_Categories!$C$2:$C$18,MATCH(D117,Part_Categories!$B$2:$B$18,0)),"CHECK")</f>
        <v>/sabroe/smc-65/shaft-seal</v>
      </c>
      <c r="Q117" s="19"/>
    </row>
    <row r="118" customFormat="false" ht="23.85" hidden="false" customHeight="false" outlineLevel="0" collapsed="false">
      <c r="A118" s="16" t="n">
        <f aca="false">ROW()-1</f>
        <v>117</v>
      </c>
      <c r="B118" s="17" t="s">
        <v>76</v>
      </c>
      <c r="C118" s="17" t="s">
        <v>112</v>
      </c>
      <c r="D118" s="17" t="s">
        <v>104</v>
      </c>
      <c r="E118" s="16" t="str">
        <f aca="false">IFERROR(INDEX(Lists!$B$2:$B$7,MATCH(B118,Lists!$A$2:$A$7,0))&amp;"-"&amp;INDEX(Series!$C$2:$C$30,MATCH(C118,Series!$B$2:$B$30,0))&amp;"-"&amp;INDEX(Part_Categories!$A$2:$A$18,MATCH(D118,Part_Categories!$B$2:$B$18,0))&amp;"-01","CHECK")</f>
        <v>SAB-SMC65-FLT-01</v>
      </c>
      <c r="F118" s="16" t="str">
        <f aca="false">E118&amp;".jpg"</f>
        <v>SAB-SMC65-FLT-01.jpg</v>
      </c>
      <c r="G118" s="18" t="str">
        <f aca="false">IFERROR(INDEX(Series!$F$2:$F$30,MATCH(C118,Series!$B$2:$B$30,0)),"")</f>
        <v>SMC 2-65, SMC 3-65, SMC 4-65, SMC 6-65, SMC 8-65, SMC 10-65, TSMC 8-65</v>
      </c>
      <c r="H118" s="19"/>
      <c r="I118" s="19"/>
      <c r="J118" s="19"/>
      <c r="K118" s="19" t="s">
        <v>70</v>
      </c>
      <c r="L118" s="19"/>
      <c r="M118" s="19"/>
      <c r="N118" s="19"/>
      <c r="O118" s="18" t="str">
        <f aca="false">C118&amp;" "&amp;D118&amp;" spare part - Efforts Engineers"</f>
        <v>Sabroe SMC 65 Series Oil Filter and Strainer spare part - Efforts Engineers</v>
      </c>
      <c r="P118" s="16" t="str">
        <f aca="false">IFERROR("/"&amp;LOWER(B118)&amp;"/"&amp;INDEX(Series!$D$2:$D$30,MATCH(C118,Series!$B$2:$B$30,0))&amp;"/"&amp;INDEX(Part_Categories!$C$2:$C$18,MATCH(D118,Part_Categories!$B$2:$B$18,0)),"CHECK")</f>
        <v>/sabroe/smc-65/oil-filter-and-strainer</v>
      </c>
      <c r="Q118" s="19"/>
    </row>
    <row r="119" customFormat="false" ht="23.85" hidden="false" customHeight="false" outlineLevel="0" collapsed="false">
      <c r="A119" s="16" t="n">
        <f aca="false">ROW()-1</f>
        <v>118</v>
      </c>
      <c r="B119" s="17" t="s">
        <v>76</v>
      </c>
      <c r="C119" s="17" t="s">
        <v>112</v>
      </c>
      <c r="D119" s="17" t="s">
        <v>105</v>
      </c>
      <c r="E119" s="16" t="str">
        <f aca="false">IFERROR(INDEX(Lists!$B$2:$B$7,MATCH(B119,Lists!$A$2:$A$7,0))&amp;"-"&amp;INDEX(Series!$C$2:$C$30,MATCH(C119,Series!$B$2:$B$30,0))&amp;"-"&amp;INDEX(Part_Categories!$A$2:$A$18,MATCH(D119,Part_Categories!$B$2:$B$18,0))&amp;"-01","CHECK")</f>
        <v>SAB-SMC65-ULD-01</v>
      </c>
      <c r="F119" s="16" t="str">
        <f aca="false">E119&amp;".jpg"</f>
        <v>SAB-SMC65-ULD-01.jpg</v>
      </c>
      <c r="G119" s="18" t="str">
        <f aca="false">IFERROR(INDEX(Series!$F$2:$F$30,MATCH(C119,Series!$B$2:$B$30,0)),"")</f>
        <v>SMC 2-65, SMC 3-65, SMC 4-65, SMC 6-65, SMC 8-65, SMC 10-65, TSMC 8-65</v>
      </c>
      <c r="H119" s="19"/>
      <c r="I119" s="19"/>
      <c r="J119" s="19"/>
      <c r="K119" s="19" t="s">
        <v>70</v>
      </c>
      <c r="L119" s="19"/>
      <c r="M119" s="19"/>
      <c r="N119" s="19"/>
      <c r="O119" s="18" t="str">
        <f aca="false">C119&amp;" "&amp;D119&amp;" spare part - Efforts Engineers"</f>
        <v>Sabroe SMC 65 Series Unloader and Capacity Control spare part - Efforts Engineers</v>
      </c>
      <c r="P119" s="16" t="str">
        <f aca="false">IFERROR("/"&amp;LOWER(B119)&amp;"/"&amp;INDEX(Series!$D$2:$D$30,MATCH(C119,Series!$B$2:$B$30,0))&amp;"/"&amp;INDEX(Part_Categories!$C$2:$C$18,MATCH(D119,Part_Categories!$B$2:$B$18,0)),"CHECK")</f>
        <v>/sabroe/smc-65/unloader-and-capacity-control</v>
      </c>
      <c r="Q119" s="19"/>
    </row>
    <row r="120" customFormat="false" ht="23.85" hidden="false" customHeight="false" outlineLevel="0" collapsed="false">
      <c r="A120" s="16" t="n">
        <f aca="false">ROW()-1</f>
        <v>119</v>
      </c>
      <c r="B120" s="17" t="s">
        <v>76</v>
      </c>
      <c r="C120" s="17" t="s">
        <v>112</v>
      </c>
      <c r="D120" s="17" t="s">
        <v>106</v>
      </c>
      <c r="E120" s="16" t="str">
        <f aca="false">IFERROR(INDEX(Lists!$B$2:$B$7,MATCH(B120,Lists!$A$2:$A$7,0))&amp;"-"&amp;INDEX(Series!$C$2:$C$30,MATCH(C120,Series!$B$2:$B$30,0))&amp;"-"&amp;INDEX(Part_Categories!$A$2:$A$18,MATCH(D120,Part_Categories!$B$2:$B$18,0))&amp;"-01","CHECK")</f>
        <v>SAB-SMC65-SAF-01</v>
      </c>
      <c r="F120" s="16" t="str">
        <f aca="false">E120&amp;".jpg"</f>
        <v>SAB-SMC65-SAF-01.jpg</v>
      </c>
      <c r="G120" s="18" t="str">
        <f aca="false">IFERROR(INDEX(Series!$F$2:$F$30,MATCH(C120,Series!$B$2:$B$30,0)),"")</f>
        <v>SMC 2-65, SMC 3-65, SMC 4-65, SMC 6-65, SMC 8-65, SMC 10-65, TSMC 8-65</v>
      </c>
      <c r="H120" s="19"/>
      <c r="I120" s="19"/>
      <c r="J120" s="19"/>
      <c r="K120" s="19" t="s">
        <v>70</v>
      </c>
      <c r="L120" s="19"/>
      <c r="M120" s="19"/>
      <c r="N120" s="19"/>
      <c r="O120" s="18" t="str">
        <f aca="false">C120&amp;" "&amp;D120&amp;" spare part - Efforts Engineers"</f>
        <v>Sabroe SMC 65 Series Safety Head and Relief Valve spare part - Efforts Engineers</v>
      </c>
      <c r="P120" s="16" t="str">
        <f aca="false">IFERROR("/"&amp;LOWER(B120)&amp;"/"&amp;INDEX(Series!$D$2:$D$30,MATCH(C120,Series!$B$2:$B$30,0))&amp;"/"&amp;INDEX(Part_Categories!$C$2:$C$18,MATCH(D120,Part_Categories!$B$2:$B$18,0)),"CHECK")</f>
        <v>/sabroe/smc-65/safety-head-and-relief-valve</v>
      </c>
      <c r="Q120" s="19"/>
    </row>
    <row r="121" customFormat="false" ht="68.65" hidden="false" customHeight="false" outlineLevel="0" collapsed="false">
      <c r="A121" s="16" t="n">
        <f aca="false">ROW()-1</f>
        <v>120</v>
      </c>
      <c r="B121" s="17" t="s">
        <v>76</v>
      </c>
      <c r="C121" s="17" t="s">
        <v>113</v>
      </c>
      <c r="D121" s="17" t="s">
        <v>58</v>
      </c>
      <c r="E121" s="16" t="str">
        <f aca="false">IFERROR(INDEX(Lists!$B$2:$B$7,MATCH(B121,Lists!$A$2:$A$7,0))&amp;"-"&amp;INDEX(Series!$C$2:$C$30,MATCH(C121,Series!$B$2:$B$30,0))&amp;"-"&amp;INDEX(Part_Categories!$A$2:$A$18,MATCH(D121,Part_Categories!$B$2:$B$18,0))&amp;"-01","CHECK")</f>
        <v>SAB-SMC100-CLN-01</v>
      </c>
      <c r="F121" s="16" t="str">
        <f aca="false">E121&amp;".jpg"</f>
        <v>SAB-SMC100-CLN-01.jpg</v>
      </c>
      <c r="G121" s="18" t="str">
        <f aca="false">IFERROR(INDEX(Series!$F$2:$F$30,MATCH(C121,Series!$B$2:$B$30,0)),"")</f>
        <v>SMC 104S, SMC 104L, SMC 104E, SMC 106S, SMC 106L, SMC 106E, SMC 108S, SMC 108L, SMC 108E, SMC 112S, SMC 112L, SMC 112E, SMC 116S, SMC 116L, SMC 116E, SMC 4-100, SMC 6-100, SMC 8-100, TSMC 108S, TSMC 108L, TSMC 116S, TSMC 116L</v>
      </c>
      <c r="H121" s="19"/>
      <c r="I121" s="19"/>
      <c r="J121" s="19"/>
      <c r="K121" s="19" t="s">
        <v>70</v>
      </c>
      <c r="L121" s="19"/>
      <c r="M121" s="19"/>
      <c r="N121" s="19"/>
      <c r="O121" s="18" t="str">
        <f aca="false">C121&amp;" "&amp;D121&amp;" spare part - Efforts Engineers"</f>
        <v>Sabroe SMC 100 Series Cylinder Liner spare part - Efforts Engineers</v>
      </c>
      <c r="P121" s="16" t="str">
        <f aca="false">IFERROR("/"&amp;LOWER(B121)&amp;"/"&amp;INDEX(Series!$D$2:$D$30,MATCH(C121,Series!$B$2:$B$30,0))&amp;"/"&amp;INDEX(Part_Categories!$C$2:$C$18,MATCH(D121,Part_Categories!$B$2:$B$18,0)),"CHECK")</f>
        <v>/sabroe/smc-100/cylinder-liner</v>
      </c>
      <c r="Q121" s="19"/>
    </row>
    <row r="122" customFormat="false" ht="68.65" hidden="false" customHeight="false" outlineLevel="0" collapsed="false">
      <c r="A122" s="16" t="n">
        <f aca="false">ROW()-1</f>
        <v>121</v>
      </c>
      <c r="B122" s="17" t="s">
        <v>76</v>
      </c>
      <c r="C122" s="17" t="s">
        <v>113</v>
      </c>
      <c r="D122" s="17" t="s">
        <v>91</v>
      </c>
      <c r="E122" s="16" t="str">
        <f aca="false">IFERROR(INDEX(Lists!$B$2:$B$7,MATCH(B122,Lists!$A$2:$A$7,0))&amp;"-"&amp;INDEX(Series!$C$2:$C$30,MATCH(C122,Series!$B$2:$B$30,0))&amp;"-"&amp;INDEX(Part_Categories!$A$2:$A$18,MATCH(D122,Part_Categories!$B$2:$B$18,0))&amp;"-01","CHECK")</f>
        <v>SAB-SMC100-PST-01</v>
      </c>
      <c r="F122" s="16" t="str">
        <f aca="false">E122&amp;".jpg"</f>
        <v>SAB-SMC100-PST-01.jpg</v>
      </c>
      <c r="G122" s="18" t="str">
        <f aca="false">IFERROR(INDEX(Series!$F$2:$F$30,MATCH(C122,Series!$B$2:$B$30,0)),"")</f>
        <v>SMC 104S, SMC 104L, SMC 104E, SMC 106S, SMC 106L, SMC 106E, SMC 108S, SMC 108L, SMC 108E, SMC 112S, SMC 112L, SMC 112E, SMC 116S, SMC 116L, SMC 116E, SMC 4-100, SMC 6-100, SMC 8-100, TSMC 108S, TSMC 108L, TSMC 116S, TSMC 116L</v>
      </c>
      <c r="H122" s="19"/>
      <c r="I122" s="19"/>
      <c r="J122" s="19"/>
      <c r="K122" s="19" t="s">
        <v>70</v>
      </c>
      <c r="L122" s="19"/>
      <c r="M122" s="19"/>
      <c r="N122" s="19"/>
      <c r="O122" s="18" t="str">
        <f aca="false">C122&amp;" "&amp;D122&amp;" spare part - Efforts Engineers"</f>
        <v>Sabroe SMC 100 Series Piston Assembly spare part - Efforts Engineers</v>
      </c>
      <c r="P122" s="16" t="str">
        <f aca="false">IFERROR("/"&amp;LOWER(B122)&amp;"/"&amp;INDEX(Series!$D$2:$D$30,MATCH(C122,Series!$B$2:$B$30,0))&amp;"/"&amp;INDEX(Part_Categories!$C$2:$C$18,MATCH(D122,Part_Categories!$B$2:$B$18,0)),"CHECK")</f>
        <v>/sabroe/smc-100/piston-assembly</v>
      </c>
      <c r="Q122" s="19"/>
    </row>
    <row r="123" customFormat="false" ht="68.65" hidden="false" customHeight="false" outlineLevel="0" collapsed="false">
      <c r="A123" s="16" t="n">
        <f aca="false">ROW()-1</f>
        <v>122</v>
      </c>
      <c r="B123" s="17" t="s">
        <v>76</v>
      </c>
      <c r="C123" s="17" t="s">
        <v>113</v>
      </c>
      <c r="D123" s="17" t="s">
        <v>92</v>
      </c>
      <c r="E123" s="16" t="str">
        <f aca="false">IFERROR(INDEX(Lists!$B$2:$B$7,MATCH(B123,Lists!$A$2:$A$7,0))&amp;"-"&amp;INDEX(Series!$C$2:$C$30,MATCH(C123,Series!$B$2:$B$30,0))&amp;"-"&amp;INDEX(Part_Categories!$A$2:$A$18,MATCH(D123,Part_Categories!$B$2:$B$18,0))&amp;"-01","CHECK")</f>
        <v>SAB-SMC100-PRG-01</v>
      </c>
      <c r="F123" s="16" t="str">
        <f aca="false">E123&amp;".jpg"</f>
        <v>SAB-SMC100-PRG-01.jpg</v>
      </c>
      <c r="G123" s="18" t="str">
        <f aca="false">IFERROR(INDEX(Series!$F$2:$F$30,MATCH(C123,Series!$B$2:$B$30,0)),"")</f>
        <v>SMC 104S, SMC 104L, SMC 104E, SMC 106S, SMC 106L, SMC 106E, SMC 108S, SMC 108L, SMC 108E, SMC 112S, SMC 112L, SMC 112E, SMC 116S, SMC 116L, SMC 116E, SMC 4-100, SMC 6-100, SMC 8-100, TSMC 108S, TSMC 108L, TSMC 116S, TSMC 116L</v>
      </c>
      <c r="H123" s="19"/>
      <c r="I123" s="19"/>
      <c r="J123" s="19"/>
      <c r="K123" s="19" t="s">
        <v>70</v>
      </c>
      <c r="L123" s="19"/>
      <c r="M123" s="19"/>
      <c r="N123" s="19"/>
      <c r="O123" s="18" t="str">
        <f aca="false">C123&amp;" "&amp;D123&amp;" spare part - Efforts Engineers"</f>
        <v>Sabroe SMC 100 Series Piston Ring Set spare part - Efforts Engineers</v>
      </c>
      <c r="P123" s="16" t="str">
        <f aca="false">IFERROR("/"&amp;LOWER(B123)&amp;"/"&amp;INDEX(Series!$D$2:$D$30,MATCH(C123,Series!$B$2:$B$30,0))&amp;"/"&amp;INDEX(Part_Categories!$C$2:$C$18,MATCH(D123,Part_Categories!$B$2:$B$18,0)),"CHECK")</f>
        <v>/sabroe/smc-100/piston-ring-set</v>
      </c>
      <c r="Q123" s="19"/>
    </row>
    <row r="124" customFormat="false" ht="68.65" hidden="false" customHeight="false" outlineLevel="0" collapsed="false">
      <c r="A124" s="16" t="n">
        <f aca="false">ROW()-1</f>
        <v>123</v>
      </c>
      <c r="B124" s="17" t="s">
        <v>76</v>
      </c>
      <c r="C124" s="17" t="s">
        <v>113</v>
      </c>
      <c r="D124" s="17" t="s">
        <v>93</v>
      </c>
      <c r="E124" s="16" t="str">
        <f aca="false">IFERROR(INDEX(Lists!$B$2:$B$7,MATCH(B124,Lists!$A$2:$A$7,0))&amp;"-"&amp;INDEX(Series!$C$2:$C$30,MATCH(C124,Series!$B$2:$B$30,0))&amp;"-"&amp;INDEX(Part_Categories!$A$2:$A$18,MATCH(D124,Part_Categories!$B$2:$B$18,0))&amp;"-01","CHECK")</f>
        <v>SAB-SMC100-CRD-01</v>
      </c>
      <c r="F124" s="16" t="str">
        <f aca="false">E124&amp;".jpg"</f>
        <v>SAB-SMC100-CRD-01.jpg</v>
      </c>
      <c r="G124" s="18" t="str">
        <f aca="false">IFERROR(INDEX(Series!$F$2:$F$30,MATCH(C124,Series!$B$2:$B$30,0)),"")</f>
        <v>SMC 104S, SMC 104L, SMC 104E, SMC 106S, SMC 106L, SMC 106E, SMC 108S, SMC 108L, SMC 108E, SMC 112S, SMC 112L, SMC 112E, SMC 116S, SMC 116L, SMC 116E, SMC 4-100, SMC 6-100, SMC 8-100, TSMC 108S, TSMC 108L, TSMC 116S, TSMC 116L</v>
      </c>
      <c r="H124" s="19"/>
      <c r="I124" s="19"/>
      <c r="J124" s="19"/>
      <c r="K124" s="19" t="s">
        <v>70</v>
      </c>
      <c r="L124" s="19"/>
      <c r="M124" s="19"/>
      <c r="N124" s="19"/>
      <c r="O124" s="18" t="str">
        <f aca="false">C124&amp;" "&amp;D124&amp;" spare part - Efforts Engineers"</f>
        <v>Sabroe SMC 100 Series Connecting Rod spare part - Efforts Engineers</v>
      </c>
      <c r="P124" s="16" t="str">
        <f aca="false">IFERROR("/"&amp;LOWER(B124)&amp;"/"&amp;INDEX(Series!$D$2:$D$30,MATCH(C124,Series!$B$2:$B$30,0))&amp;"/"&amp;INDEX(Part_Categories!$C$2:$C$18,MATCH(D124,Part_Categories!$B$2:$B$18,0)),"CHECK")</f>
        <v>/sabroe/smc-100/connecting-rod</v>
      </c>
      <c r="Q124" s="19"/>
    </row>
    <row r="125" customFormat="false" ht="68.65" hidden="false" customHeight="false" outlineLevel="0" collapsed="false">
      <c r="A125" s="16" t="n">
        <f aca="false">ROW()-1</f>
        <v>124</v>
      </c>
      <c r="B125" s="17" t="s">
        <v>76</v>
      </c>
      <c r="C125" s="17" t="s">
        <v>113</v>
      </c>
      <c r="D125" s="17" t="s">
        <v>94</v>
      </c>
      <c r="E125" s="16" t="str">
        <f aca="false">IFERROR(INDEX(Lists!$B$2:$B$7,MATCH(B125,Lists!$A$2:$A$7,0))&amp;"-"&amp;INDEX(Series!$C$2:$C$30,MATCH(C125,Series!$B$2:$B$30,0))&amp;"-"&amp;INDEX(Part_Categories!$A$2:$A$18,MATCH(D125,Part_Categories!$B$2:$B$18,0))&amp;"-01","CHECK")</f>
        <v>SAB-SMC100-CRK-01</v>
      </c>
      <c r="F125" s="16" t="str">
        <f aca="false">E125&amp;".jpg"</f>
        <v>SAB-SMC100-CRK-01.jpg</v>
      </c>
      <c r="G125" s="18" t="str">
        <f aca="false">IFERROR(INDEX(Series!$F$2:$F$30,MATCH(C125,Series!$B$2:$B$30,0)),"")</f>
        <v>SMC 104S, SMC 104L, SMC 104E, SMC 106S, SMC 106L, SMC 106E, SMC 108S, SMC 108L, SMC 108E, SMC 112S, SMC 112L, SMC 112E, SMC 116S, SMC 116L, SMC 116E, SMC 4-100, SMC 6-100, SMC 8-100, TSMC 108S, TSMC 108L, TSMC 116S, TSMC 116L</v>
      </c>
      <c r="H125" s="19"/>
      <c r="I125" s="19"/>
      <c r="J125" s="19"/>
      <c r="K125" s="19" t="s">
        <v>70</v>
      </c>
      <c r="L125" s="19"/>
      <c r="M125" s="19"/>
      <c r="N125" s="19"/>
      <c r="O125" s="18" t="str">
        <f aca="false">C125&amp;" "&amp;D125&amp;" spare part - Efforts Engineers"</f>
        <v>Sabroe SMC 100 Series Crankshaft spare part - Efforts Engineers</v>
      </c>
      <c r="P125" s="16" t="str">
        <f aca="false">IFERROR("/"&amp;LOWER(B125)&amp;"/"&amp;INDEX(Series!$D$2:$D$30,MATCH(C125,Series!$B$2:$B$30,0))&amp;"/"&amp;INDEX(Part_Categories!$C$2:$C$18,MATCH(D125,Part_Categories!$B$2:$B$18,0)),"CHECK")</f>
        <v>/sabroe/smc-100/crankshaft</v>
      </c>
      <c r="Q125" s="19"/>
    </row>
    <row r="126" customFormat="false" ht="68.65" hidden="false" customHeight="false" outlineLevel="0" collapsed="false">
      <c r="A126" s="16" t="n">
        <f aca="false">ROW()-1</f>
        <v>125</v>
      </c>
      <c r="B126" s="17" t="s">
        <v>76</v>
      </c>
      <c r="C126" s="17" t="s">
        <v>113</v>
      </c>
      <c r="D126" s="17" t="s">
        <v>95</v>
      </c>
      <c r="E126" s="16" t="str">
        <f aca="false">IFERROR(INDEX(Lists!$B$2:$B$7,MATCH(B126,Lists!$A$2:$A$7,0))&amp;"-"&amp;INDEX(Series!$C$2:$C$30,MATCH(C126,Series!$B$2:$B$30,0))&amp;"-"&amp;INDEX(Part_Categories!$A$2:$A$18,MATCH(D126,Part_Categories!$B$2:$B$18,0))&amp;"-01","CHECK")</f>
        <v>SAB-SMC100-PIN-01</v>
      </c>
      <c r="F126" s="16" t="str">
        <f aca="false">E126&amp;".jpg"</f>
        <v>SAB-SMC100-PIN-01.jpg</v>
      </c>
      <c r="G126" s="18" t="str">
        <f aca="false">IFERROR(INDEX(Series!$F$2:$F$30,MATCH(C126,Series!$B$2:$B$30,0)),"")</f>
        <v>SMC 104S, SMC 104L, SMC 104E, SMC 106S, SMC 106L, SMC 106E, SMC 108S, SMC 108L, SMC 108E, SMC 112S, SMC 112L, SMC 112E, SMC 116S, SMC 116L, SMC 116E, SMC 4-100, SMC 6-100, SMC 8-100, TSMC 108S, TSMC 108L, TSMC 116S, TSMC 116L</v>
      </c>
      <c r="H126" s="19"/>
      <c r="I126" s="19"/>
      <c r="J126" s="19"/>
      <c r="K126" s="19" t="s">
        <v>70</v>
      </c>
      <c r="L126" s="19"/>
      <c r="M126" s="19"/>
      <c r="N126" s="19"/>
      <c r="O126" s="18" t="str">
        <f aca="false">C126&amp;" "&amp;D126&amp;" spare part - Efforts Engineers"</f>
        <v>Sabroe SMC 100 Series Gudgeon Pin and Bush spare part - Efforts Engineers</v>
      </c>
      <c r="P126" s="16" t="str">
        <f aca="false">IFERROR("/"&amp;LOWER(B126)&amp;"/"&amp;INDEX(Series!$D$2:$D$30,MATCH(C126,Series!$B$2:$B$30,0))&amp;"/"&amp;INDEX(Part_Categories!$C$2:$C$18,MATCH(D126,Part_Categories!$B$2:$B$18,0)),"CHECK")</f>
        <v>/sabroe/smc-100/gudgeon-pin-and-bush</v>
      </c>
      <c r="Q126" s="19"/>
    </row>
    <row r="127" customFormat="false" ht="68.65" hidden="false" customHeight="false" outlineLevel="0" collapsed="false">
      <c r="A127" s="16" t="n">
        <f aca="false">ROW()-1</f>
        <v>126</v>
      </c>
      <c r="B127" s="17" t="s">
        <v>76</v>
      </c>
      <c r="C127" s="17" t="s">
        <v>113</v>
      </c>
      <c r="D127" s="17" t="s">
        <v>96</v>
      </c>
      <c r="E127" s="16" t="str">
        <f aca="false">IFERROR(INDEX(Lists!$B$2:$B$7,MATCH(B127,Lists!$A$2:$A$7,0))&amp;"-"&amp;INDEX(Series!$C$2:$C$30,MATCH(C127,Series!$B$2:$B$30,0))&amp;"-"&amp;INDEX(Part_Categories!$A$2:$A$18,MATCH(D127,Part_Categories!$B$2:$B$18,0))&amp;"-01","CHECK")</f>
        <v>SAB-SMC100-BRG-01</v>
      </c>
      <c r="F127" s="16" t="str">
        <f aca="false">E127&amp;".jpg"</f>
        <v>SAB-SMC100-BRG-01.jpg</v>
      </c>
      <c r="G127" s="18" t="str">
        <f aca="false">IFERROR(INDEX(Series!$F$2:$F$30,MATCH(C127,Series!$B$2:$B$30,0)),"")</f>
        <v>SMC 104S, SMC 104L, SMC 104E, SMC 106S, SMC 106L, SMC 106E, SMC 108S, SMC 108L, SMC 108E, SMC 112S, SMC 112L, SMC 112E, SMC 116S, SMC 116L, SMC 116E, SMC 4-100, SMC 6-100, SMC 8-100, TSMC 108S, TSMC 108L, TSMC 116S, TSMC 116L</v>
      </c>
      <c r="H127" s="19"/>
      <c r="I127" s="19"/>
      <c r="J127" s="19"/>
      <c r="K127" s="19" t="s">
        <v>70</v>
      </c>
      <c r="L127" s="19"/>
      <c r="M127" s="19"/>
      <c r="N127" s="19"/>
      <c r="O127" s="18" t="str">
        <f aca="false">C127&amp;" "&amp;D127&amp;" spare part - Efforts Engineers"</f>
        <v>Sabroe SMC 100 Series Main Bearing and Bush spare part - Efforts Engineers</v>
      </c>
      <c r="P127" s="16" t="str">
        <f aca="false">IFERROR("/"&amp;LOWER(B127)&amp;"/"&amp;INDEX(Series!$D$2:$D$30,MATCH(C127,Series!$B$2:$B$30,0))&amp;"/"&amp;INDEX(Part_Categories!$C$2:$C$18,MATCH(D127,Part_Categories!$B$2:$B$18,0)),"CHECK")</f>
        <v>/sabroe/smc-100/main-bearing-and-bush</v>
      </c>
      <c r="Q127" s="19"/>
    </row>
    <row r="128" customFormat="false" ht="68.65" hidden="false" customHeight="false" outlineLevel="0" collapsed="false">
      <c r="A128" s="16" t="n">
        <f aca="false">ROW()-1</f>
        <v>127</v>
      </c>
      <c r="B128" s="17" t="s">
        <v>76</v>
      </c>
      <c r="C128" s="17" t="s">
        <v>113</v>
      </c>
      <c r="D128" s="17" t="s">
        <v>97</v>
      </c>
      <c r="E128" s="16" t="str">
        <f aca="false">IFERROR(INDEX(Lists!$B$2:$B$7,MATCH(B128,Lists!$A$2:$A$7,0))&amp;"-"&amp;INDEX(Series!$C$2:$C$30,MATCH(C128,Series!$B$2:$B$30,0))&amp;"-"&amp;INDEX(Part_Categories!$A$2:$A$18,MATCH(D128,Part_Categories!$B$2:$B$18,0))&amp;"-01","CHECK")</f>
        <v>SAB-SMC100-SVP-01</v>
      </c>
      <c r="F128" s="16" t="str">
        <f aca="false">E128&amp;".jpg"</f>
        <v>SAB-SMC100-SVP-01.jpg</v>
      </c>
      <c r="G128" s="18" t="str">
        <f aca="false">IFERROR(INDEX(Series!$F$2:$F$30,MATCH(C128,Series!$B$2:$B$30,0)),"")</f>
        <v>SMC 104S, SMC 104L, SMC 104E, SMC 106S, SMC 106L, SMC 106E, SMC 108S, SMC 108L, SMC 108E, SMC 112S, SMC 112L, SMC 112E, SMC 116S, SMC 116L, SMC 116E, SMC 4-100, SMC 6-100, SMC 8-100, TSMC 108S, TSMC 108L, TSMC 116S, TSMC 116L</v>
      </c>
      <c r="H128" s="19"/>
      <c r="I128" s="19"/>
      <c r="J128" s="19"/>
      <c r="K128" s="19" t="s">
        <v>70</v>
      </c>
      <c r="L128" s="19"/>
      <c r="M128" s="19"/>
      <c r="N128" s="19"/>
      <c r="O128" s="18" t="str">
        <f aca="false">C128&amp;" "&amp;D128&amp;" spare part - Efforts Engineers"</f>
        <v>Sabroe SMC 100 Series Suction Valve Plate spare part - Efforts Engineers</v>
      </c>
      <c r="P128" s="16" t="str">
        <f aca="false">IFERROR("/"&amp;LOWER(B128)&amp;"/"&amp;INDEX(Series!$D$2:$D$30,MATCH(C128,Series!$B$2:$B$30,0))&amp;"/"&amp;INDEX(Part_Categories!$C$2:$C$18,MATCH(D128,Part_Categories!$B$2:$B$18,0)),"CHECK")</f>
        <v>/sabroe/smc-100/suction-valve-plate</v>
      </c>
      <c r="Q128" s="19"/>
    </row>
    <row r="129" customFormat="false" ht="68.65" hidden="false" customHeight="false" outlineLevel="0" collapsed="false">
      <c r="A129" s="16" t="n">
        <f aca="false">ROW()-1</f>
        <v>128</v>
      </c>
      <c r="B129" s="17" t="s">
        <v>76</v>
      </c>
      <c r="C129" s="17" t="s">
        <v>113</v>
      </c>
      <c r="D129" s="17" t="s">
        <v>98</v>
      </c>
      <c r="E129" s="16" t="str">
        <f aca="false">IFERROR(INDEX(Lists!$B$2:$B$7,MATCH(B129,Lists!$A$2:$A$7,0))&amp;"-"&amp;INDEX(Series!$C$2:$C$30,MATCH(C129,Series!$B$2:$B$30,0))&amp;"-"&amp;INDEX(Part_Categories!$A$2:$A$18,MATCH(D129,Part_Categories!$B$2:$B$18,0))&amp;"-01","CHECK")</f>
        <v>SAB-SMC100-DVA-01</v>
      </c>
      <c r="F129" s="16" t="str">
        <f aca="false">E129&amp;".jpg"</f>
        <v>SAB-SMC100-DVA-01.jpg</v>
      </c>
      <c r="G129" s="18" t="str">
        <f aca="false">IFERROR(INDEX(Series!$F$2:$F$30,MATCH(C129,Series!$B$2:$B$30,0)),"")</f>
        <v>SMC 104S, SMC 104L, SMC 104E, SMC 106S, SMC 106L, SMC 106E, SMC 108S, SMC 108L, SMC 108E, SMC 112S, SMC 112L, SMC 112E, SMC 116S, SMC 116L, SMC 116E, SMC 4-100, SMC 6-100, SMC 8-100, TSMC 108S, TSMC 108L, TSMC 116S, TSMC 116L</v>
      </c>
      <c r="H129" s="19"/>
      <c r="I129" s="19"/>
      <c r="J129" s="19"/>
      <c r="K129" s="19" t="s">
        <v>70</v>
      </c>
      <c r="L129" s="19"/>
      <c r="M129" s="19"/>
      <c r="N129" s="19"/>
      <c r="O129" s="18" t="str">
        <f aca="false">C129&amp;" "&amp;D129&amp;" spare part - Efforts Engineers"</f>
        <v>Sabroe SMC 100 Series Discharge Valve Assembly spare part - Efforts Engineers</v>
      </c>
      <c r="P129" s="16" t="str">
        <f aca="false">IFERROR("/"&amp;LOWER(B129)&amp;"/"&amp;INDEX(Series!$D$2:$D$30,MATCH(C129,Series!$B$2:$B$30,0))&amp;"/"&amp;INDEX(Part_Categories!$C$2:$C$18,MATCH(D129,Part_Categories!$B$2:$B$18,0)),"CHECK")</f>
        <v>/sabroe/smc-100/discharge-valve-assembly</v>
      </c>
      <c r="Q129" s="19"/>
    </row>
    <row r="130" customFormat="false" ht="68.65" hidden="false" customHeight="false" outlineLevel="0" collapsed="false">
      <c r="A130" s="16" t="n">
        <f aca="false">ROW()-1</f>
        <v>129</v>
      </c>
      <c r="B130" s="17" t="s">
        <v>76</v>
      </c>
      <c r="C130" s="17" t="s">
        <v>113</v>
      </c>
      <c r="D130" s="17" t="s">
        <v>99</v>
      </c>
      <c r="E130" s="16" t="str">
        <f aca="false">IFERROR(INDEX(Lists!$B$2:$B$7,MATCH(B130,Lists!$A$2:$A$7,0))&amp;"-"&amp;INDEX(Series!$C$2:$C$30,MATCH(C130,Series!$B$2:$B$30,0))&amp;"-"&amp;INDEX(Part_Categories!$A$2:$A$18,MATCH(D130,Part_Categories!$B$2:$B$18,0))&amp;"-01","CHECK")</f>
        <v>SAB-SMC100-VSP-01</v>
      </c>
      <c r="F130" s="16" t="str">
        <f aca="false">E130&amp;".jpg"</f>
        <v>SAB-SMC100-VSP-01.jpg</v>
      </c>
      <c r="G130" s="18" t="str">
        <f aca="false">IFERROR(INDEX(Series!$F$2:$F$30,MATCH(C130,Series!$B$2:$B$30,0)),"")</f>
        <v>SMC 104S, SMC 104L, SMC 104E, SMC 106S, SMC 106L, SMC 106E, SMC 108S, SMC 108L, SMC 108E, SMC 112S, SMC 112L, SMC 112E, SMC 116S, SMC 116L, SMC 116E, SMC 4-100, SMC 6-100, SMC 8-100, TSMC 108S, TSMC 108L, TSMC 116S, TSMC 116L</v>
      </c>
      <c r="H130" s="19"/>
      <c r="I130" s="19"/>
      <c r="J130" s="19"/>
      <c r="K130" s="19" t="s">
        <v>70</v>
      </c>
      <c r="L130" s="19"/>
      <c r="M130" s="19"/>
      <c r="N130" s="19"/>
      <c r="O130" s="18" t="str">
        <f aca="false">C130&amp;" "&amp;D130&amp;" spare part - Efforts Engineers"</f>
        <v>Sabroe SMC 100 Series Valve Spring and Cage spare part - Efforts Engineers</v>
      </c>
      <c r="P130" s="16" t="str">
        <f aca="false">IFERROR("/"&amp;LOWER(B130)&amp;"/"&amp;INDEX(Series!$D$2:$D$30,MATCH(C130,Series!$B$2:$B$30,0))&amp;"/"&amp;INDEX(Part_Categories!$C$2:$C$18,MATCH(D130,Part_Categories!$B$2:$B$18,0)),"CHECK")</f>
        <v>/sabroe/smc-100/valve-spring-and-cage</v>
      </c>
      <c r="Q130" s="19"/>
    </row>
    <row r="131" customFormat="false" ht="68.65" hidden="false" customHeight="false" outlineLevel="0" collapsed="false">
      <c r="A131" s="16" t="n">
        <f aca="false">ROW()-1</f>
        <v>130</v>
      </c>
      <c r="B131" s="17" t="s">
        <v>76</v>
      </c>
      <c r="C131" s="17" t="s">
        <v>113</v>
      </c>
      <c r="D131" s="17" t="s">
        <v>100</v>
      </c>
      <c r="E131" s="16" t="str">
        <f aca="false">IFERROR(INDEX(Lists!$B$2:$B$7,MATCH(B131,Lists!$A$2:$A$7,0))&amp;"-"&amp;INDEX(Series!$C$2:$C$30,MATCH(C131,Series!$B$2:$B$30,0))&amp;"-"&amp;INDEX(Part_Categories!$A$2:$A$18,MATCH(D131,Part_Categories!$B$2:$B$18,0))&amp;"-01","CHECK")</f>
        <v>SAB-SMC100-HDC-01</v>
      </c>
      <c r="F131" s="16" t="str">
        <f aca="false">E131&amp;".jpg"</f>
        <v>SAB-SMC100-HDC-01.jpg</v>
      </c>
      <c r="G131" s="18" t="str">
        <f aca="false">IFERROR(INDEX(Series!$F$2:$F$30,MATCH(C131,Series!$B$2:$B$30,0)),"")</f>
        <v>SMC 104S, SMC 104L, SMC 104E, SMC 106S, SMC 106L, SMC 106E, SMC 108S, SMC 108L, SMC 108E, SMC 112S, SMC 112L, SMC 112E, SMC 116S, SMC 116L, SMC 116E, SMC 4-100, SMC 6-100, SMC 8-100, TSMC 108S, TSMC 108L, TSMC 116S, TSMC 116L</v>
      </c>
      <c r="H131" s="19"/>
      <c r="I131" s="19"/>
      <c r="J131" s="19"/>
      <c r="K131" s="19" t="s">
        <v>70</v>
      </c>
      <c r="L131" s="19"/>
      <c r="M131" s="19"/>
      <c r="N131" s="19"/>
      <c r="O131" s="18" t="str">
        <f aca="false">C131&amp;" "&amp;D131&amp;" spare part - Efforts Engineers"</f>
        <v>Sabroe SMC 100 Series Cylinder Head Cover spare part - Efforts Engineers</v>
      </c>
      <c r="P131" s="16" t="str">
        <f aca="false">IFERROR("/"&amp;LOWER(B131)&amp;"/"&amp;INDEX(Series!$D$2:$D$30,MATCH(C131,Series!$B$2:$B$30,0))&amp;"/"&amp;INDEX(Part_Categories!$C$2:$C$18,MATCH(D131,Part_Categories!$B$2:$B$18,0)),"CHECK")</f>
        <v>/sabroe/smc-100/cylinder-head-cover</v>
      </c>
      <c r="Q131" s="19"/>
    </row>
    <row r="132" customFormat="false" ht="68.65" hidden="false" customHeight="false" outlineLevel="0" collapsed="false">
      <c r="A132" s="16" t="n">
        <f aca="false">ROW()-1</f>
        <v>131</v>
      </c>
      <c r="B132" s="17" t="s">
        <v>76</v>
      </c>
      <c r="C132" s="17" t="s">
        <v>113</v>
      </c>
      <c r="D132" s="17" t="s">
        <v>101</v>
      </c>
      <c r="E132" s="16" t="str">
        <f aca="false">IFERROR(INDEX(Lists!$B$2:$B$7,MATCH(B132,Lists!$A$2:$A$7,0))&amp;"-"&amp;INDEX(Series!$C$2:$C$30,MATCH(C132,Series!$B$2:$B$30,0))&amp;"-"&amp;INDEX(Part_Categories!$A$2:$A$18,MATCH(D132,Part_Categories!$B$2:$B$18,0))&amp;"-01","CHECK")</f>
        <v>SAB-SMC100-GSK-01</v>
      </c>
      <c r="F132" s="16" t="str">
        <f aca="false">E132&amp;".jpg"</f>
        <v>SAB-SMC100-GSK-01.jpg</v>
      </c>
      <c r="G132" s="18" t="str">
        <f aca="false">IFERROR(INDEX(Series!$F$2:$F$30,MATCH(C132,Series!$B$2:$B$30,0)),"")</f>
        <v>SMC 104S, SMC 104L, SMC 104E, SMC 106S, SMC 106L, SMC 106E, SMC 108S, SMC 108L, SMC 108E, SMC 112S, SMC 112L, SMC 112E, SMC 116S, SMC 116L, SMC 116E, SMC 4-100, SMC 6-100, SMC 8-100, TSMC 108S, TSMC 108L, TSMC 116S, TSMC 116L</v>
      </c>
      <c r="H132" s="19"/>
      <c r="I132" s="19"/>
      <c r="J132" s="19"/>
      <c r="K132" s="19" t="s">
        <v>70</v>
      </c>
      <c r="L132" s="19"/>
      <c r="M132" s="19"/>
      <c r="N132" s="19"/>
      <c r="O132" s="18" t="str">
        <f aca="false">C132&amp;" "&amp;D132&amp;" spare part - Efforts Engineers"</f>
        <v>Sabroe SMC 100 Series Gasket and Overhaul Kit spare part - Efforts Engineers</v>
      </c>
      <c r="P132" s="16" t="str">
        <f aca="false">IFERROR("/"&amp;LOWER(B132)&amp;"/"&amp;INDEX(Series!$D$2:$D$30,MATCH(C132,Series!$B$2:$B$30,0))&amp;"/"&amp;INDEX(Part_Categories!$C$2:$C$18,MATCH(D132,Part_Categories!$B$2:$B$18,0)),"CHECK")</f>
        <v>/sabroe/smc-100/gasket-and-overhaul-kit</v>
      </c>
      <c r="Q132" s="19"/>
    </row>
    <row r="133" customFormat="false" ht="68.65" hidden="false" customHeight="false" outlineLevel="0" collapsed="false">
      <c r="A133" s="16" t="n">
        <f aca="false">ROW()-1</f>
        <v>132</v>
      </c>
      <c r="B133" s="17" t="s">
        <v>76</v>
      </c>
      <c r="C133" s="17" t="s">
        <v>113</v>
      </c>
      <c r="D133" s="17" t="s">
        <v>102</v>
      </c>
      <c r="E133" s="16" t="str">
        <f aca="false">IFERROR(INDEX(Lists!$B$2:$B$7,MATCH(B133,Lists!$A$2:$A$7,0))&amp;"-"&amp;INDEX(Series!$C$2:$C$30,MATCH(C133,Series!$B$2:$B$30,0))&amp;"-"&amp;INDEX(Part_Categories!$A$2:$A$18,MATCH(D133,Part_Categories!$B$2:$B$18,0))&amp;"-01","CHECK")</f>
        <v>SAB-SMC100-OPA-01</v>
      </c>
      <c r="F133" s="16" t="str">
        <f aca="false">E133&amp;".jpg"</f>
        <v>SAB-SMC100-OPA-01.jpg</v>
      </c>
      <c r="G133" s="18" t="str">
        <f aca="false">IFERROR(INDEX(Series!$F$2:$F$30,MATCH(C133,Series!$B$2:$B$30,0)),"")</f>
        <v>SMC 104S, SMC 104L, SMC 104E, SMC 106S, SMC 106L, SMC 106E, SMC 108S, SMC 108L, SMC 108E, SMC 112S, SMC 112L, SMC 112E, SMC 116S, SMC 116L, SMC 116E, SMC 4-100, SMC 6-100, SMC 8-100, TSMC 108S, TSMC 108L, TSMC 116S, TSMC 116L</v>
      </c>
      <c r="H133" s="19"/>
      <c r="I133" s="19"/>
      <c r="J133" s="19"/>
      <c r="K133" s="19" t="s">
        <v>70</v>
      </c>
      <c r="L133" s="19"/>
      <c r="M133" s="19"/>
      <c r="N133" s="19"/>
      <c r="O133" s="18" t="str">
        <f aca="false">C133&amp;" "&amp;D133&amp;" spare part - Efforts Engineers"</f>
        <v>Sabroe SMC 100 Series Oil Pump Assembly spare part - Efforts Engineers</v>
      </c>
      <c r="P133" s="16" t="str">
        <f aca="false">IFERROR("/"&amp;LOWER(B133)&amp;"/"&amp;INDEX(Series!$D$2:$D$30,MATCH(C133,Series!$B$2:$B$30,0))&amp;"/"&amp;INDEX(Part_Categories!$C$2:$C$18,MATCH(D133,Part_Categories!$B$2:$B$18,0)),"CHECK")</f>
        <v>/sabroe/smc-100/oil-pump-assembly</v>
      </c>
      <c r="Q133" s="19"/>
    </row>
    <row r="134" customFormat="false" ht="68.65" hidden="false" customHeight="false" outlineLevel="0" collapsed="false">
      <c r="A134" s="16" t="n">
        <f aca="false">ROW()-1</f>
        <v>133</v>
      </c>
      <c r="B134" s="17" t="s">
        <v>76</v>
      </c>
      <c r="C134" s="17" t="s">
        <v>113</v>
      </c>
      <c r="D134" s="17" t="s">
        <v>103</v>
      </c>
      <c r="E134" s="16" t="str">
        <f aca="false">IFERROR(INDEX(Lists!$B$2:$B$7,MATCH(B134,Lists!$A$2:$A$7,0))&amp;"-"&amp;INDEX(Series!$C$2:$C$30,MATCH(C134,Series!$B$2:$B$30,0))&amp;"-"&amp;INDEX(Part_Categories!$A$2:$A$18,MATCH(D134,Part_Categories!$B$2:$B$18,0))&amp;"-01","CHECK")</f>
        <v>SAB-SMC100-SHS-01</v>
      </c>
      <c r="F134" s="16" t="str">
        <f aca="false">E134&amp;".jpg"</f>
        <v>SAB-SMC100-SHS-01.jpg</v>
      </c>
      <c r="G134" s="18" t="str">
        <f aca="false">IFERROR(INDEX(Series!$F$2:$F$30,MATCH(C134,Series!$B$2:$B$30,0)),"")</f>
        <v>SMC 104S, SMC 104L, SMC 104E, SMC 106S, SMC 106L, SMC 106E, SMC 108S, SMC 108L, SMC 108E, SMC 112S, SMC 112L, SMC 112E, SMC 116S, SMC 116L, SMC 116E, SMC 4-100, SMC 6-100, SMC 8-100, TSMC 108S, TSMC 108L, TSMC 116S, TSMC 116L</v>
      </c>
      <c r="H134" s="19"/>
      <c r="I134" s="19"/>
      <c r="J134" s="19"/>
      <c r="K134" s="19" t="s">
        <v>70</v>
      </c>
      <c r="L134" s="19"/>
      <c r="M134" s="19"/>
      <c r="N134" s="19"/>
      <c r="O134" s="18" t="str">
        <f aca="false">C134&amp;" "&amp;D134&amp;" spare part - Efforts Engineers"</f>
        <v>Sabroe SMC 100 Series Shaft Seal spare part - Efforts Engineers</v>
      </c>
      <c r="P134" s="16" t="str">
        <f aca="false">IFERROR("/"&amp;LOWER(B134)&amp;"/"&amp;INDEX(Series!$D$2:$D$30,MATCH(C134,Series!$B$2:$B$30,0))&amp;"/"&amp;INDEX(Part_Categories!$C$2:$C$18,MATCH(D134,Part_Categories!$B$2:$B$18,0)),"CHECK")</f>
        <v>/sabroe/smc-100/shaft-seal</v>
      </c>
      <c r="Q134" s="19"/>
    </row>
    <row r="135" customFormat="false" ht="68.65" hidden="false" customHeight="false" outlineLevel="0" collapsed="false">
      <c r="A135" s="16" t="n">
        <f aca="false">ROW()-1</f>
        <v>134</v>
      </c>
      <c r="B135" s="17" t="s">
        <v>76</v>
      </c>
      <c r="C135" s="17" t="s">
        <v>113</v>
      </c>
      <c r="D135" s="17" t="s">
        <v>104</v>
      </c>
      <c r="E135" s="16" t="str">
        <f aca="false">IFERROR(INDEX(Lists!$B$2:$B$7,MATCH(B135,Lists!$A$2:$A$7,0))&amp;"-"&amp;INDEX(Series!$C$2:$C$30,MATCH(C135,Series!$B$2:$B$30,0))&amp;"-"&amp;INDEX(Part_Categories!$A$2:$A$18,MATCH(D135,Part_Categories!$B$2:$B$18,0))&amp;"-01","CHECK")</f>
        <v>SAB-SMC100-FLT-01</v>
      </c>
      <c r="F135" s="16" t="str">
        <f aca="false">E135&amp;".jpg"</f>
        <v>SAB-SMC100-FLT-01.jpg</v>
      </c>
      <c r="G135" s="18" t="str">
        <f aca="false">IFERROR(INDEX(Series!$F$2:$F$30,MATCH(C135,Series!$B$2:$B$30,0)),"")</f>
        <v>SMC 104S, SMC 104L, SMC 104E, SMC 106S, SMC 106L, SMC 106E, SMC 108S, SMC 108L, SMC 108E, SMC 112S, SMC 112L, SMC 112E, SMC 116S, SMC 116L, SMC 116E, SMC 4-100, SMC 6-100, SMC 8-100, TSMC 108S, TSMC 108L, TSMC 116S, TSMC 116L</v>
      </c>
      <c r="H135" s="19"/>
      <c r="I135" s="19"/>
      <c r="J135" s="19"/>
      <c r="K135" s="19" t="s">
        <v>70</v>
      </c>
      <c r="L135" s="19"/>
      <c r="M135" s="19"/>
      <c r="N135" s="19"/>
      <c r="O135" s="18" t="str">
        <f aca="false">C135&amp;" "&amp;D135&amp;" spare part - Efforts Engineers"</f>
        <v>Sabroe SMC 100 Series Oil Filter and Strainer spare part - Efforts Engineers</v>
      </c>
      <c r="P135" s="16" t="str">
        <f aca="false">IFERROR("/"&amp;LOWER(B135)&amp;"/"&amp;INDEX(Series!$D$2:$D$30,MATCH(C135,Series!$B$2:$B$30,0))&amp;"/"&amp;INDEX(Part_Categories!$C$2:$C$18,MATCH(D135,Part_Categories!$B$2:$B$18,0)),"CHECK")</f>
        <v>/sabroe/smc-100/oil-filter-and-strainer</v>
      </c>
      <c r="Q135" s="19"/>
    </row>
    <row r="136" customFormat="false" ht="68.65" hidden="false" customHeight="false" outlineLevel="0" collapsed="false">
      <c r="A136" s="16" t="n">
        <f aca="false">ROW()-1</f>
        <v>135</v>
      </c>
      <c r="B136" s="17" t="s">
        <v>76</v>
      </c>
      <c r="C136" s="17" t="s">
        <v>113</v>
      </c>
      <c r="D136" s="17" t="s">
        <v>105</v>
      </c>
      <c r="E136" s="16" t="str">
        <f aca="false">IFERROR(INDEX(Lists!$B$2:$B$7,MATCH(B136,Lists!$A$2:$A$7,0))&amp;"-"&amp;INDEX(Series!$C$2:$C$30,MATCH(C136,Series!$B$2:$B$30,0))&amp;"-"&amp;INDEX(Part_Categories!$A$2:$A$18,MATCH(D136,Part_Categories!$B$2:$B$18,0))&amp;"-01","CHECK")</f>
        <v>SAB-SMC100-ULD-01</v>
      </c>
      <c r="F136" s="16" t="str">
        <f aca="false">E136&amp;".jpg"</f>
        <v>SAB-SMC100-ULD-01.jpg</v>
      </c>
      <c r="G136" s="18" t="str">
        <f aca="false">IFERROR(INDEX(Series!$F$2:$F$30,MATCH(C136,Series!$B$2:$B$30,0)),"")</f>
        <v>SMC 104S, SMC 104L, SMC 104E, SMC 106S, SMC 106L, SMC 106E, SMC 108S, SMC 108L, SMC 108E, SMC 112S, SMC 112L, SMC 112E, SMC 116S, SMC 116L, SMC 116E, SMC 4-100, SMC 6-100, SMC 8-100, TSMC 108S, TSMC 108L, TSMC 116S, TSMC 116L</v>
      </c>
      <c r="H136" s="19"/>
      <c r="I136" s="19"/>
      <c r="J136" s="19"/>
      <c r="K136" s="19" t="s">
        <v>70</v>
      </c>
      <c r="L136" s="19"/>
      <c r="M136" s="19"/>
      <c r="N136" s="19"/>
      <c r="O136" s="18" t="str">
        <f aca="false">C136&amp;" "&amp;D136&amp;" spare part - Efforts Engineers"</f>
        <v>Sabroe SMC 100 Series Unloader and Capacity Control spare part - Efforts Engineers</v>
      </c>
      <c r="P136" s="16" t="str">
        <f aca="false">IFERROR("/"&amp;LOWER(B136)&amp;"/"&amp;INDEX(Series!$D$2:$D$30,MATCH(C136,Series!$B$2:$B$30,0))&amp;"/"&amp;INDEX(Part_Categories!$C$2:$C$18,MATCH(D136,Part_Categories!$B$2:$B$18,0)),"CHECK")</f>
        <v>/sabroe/smc-100/unloader-and-capacity-control</v>
      </c>
      <c r="Q136" s="19"/>
    </row>
    <row r="137" customFormat="false" ht="68.65" hidden="false" customHeight="false" outlineLevel="0" collapsed="false">
      <c r="A137" s="16" t="n">
        <f aca="false">ROW()-1</f>
        <v>136</v>
      </c>
      <c r="B137" s="17" t="s">
        <v>76</v>
      </c>
      <c r="C137" s="17" t="s">
        <v>113</v>
      </c>
      <c r="D137" s="17" t="s">
        <v>106</v>
      </c>
      <c r="E137" s="16" t="str">
        <f aca="false">IFERROR(INDEX(Lists!$B$2:$B$7,MATCH(B137,Lists!$A$2:$A$7,0))&amp;"-"&amp;INDEX(Series!$C$2:$C$30,MATCH(C137,Series!$B$2:$B$30,0))&amp;"-"&amp;INDEX(Part_Categories!$A$2:$A$18,MATCH(D137,Part_Categories!$B$2:$B$18,0))&amp;"-01","CHECK")</f>
        <v>SAB-SMC100-SAF-01</v>
      </c>
      <c r="F137" s="16" t="str">
        <f aca="false">E137&amp;".jpg"</f>
        <v>SAB-SMC100-SAF-01.jpg</v>
      </c>
      <c r="G137" s="18" t="str">
        <f aca="false">IFERROR(INDEX(Series!$F$2:$F$30,MATCH(C137,Series!$B$2:$B$30,0)),"")</f>
        <v>SMC 104S, SMC 104L, SMC 104E, SMC 106S, SMC 106L, SMC 106E, SMC 108S, SMC 108L, SMC 108E, SMC 112S, SMC 112L, SMC 112E, SMC 116S, SMC 116L, SMC 116E, SMC 4-100, SMC 6-100, SMC 8-100, TSMC 108S, TSMC 108L, TSMC 116S, TSMC 116L</v>
      </c>
      <c r="H137" s="19"/>
      <c r="I137" s="19"/>
      <c r="J137" s="19"/>
      <c r="K137" s="19" t="s">
        <v>70</v>
      </c>
      <c r="L137" s="19"/>
      <c r="M137" s="19"/>
      <c r="N137" s="19"/>
      <c r="O137" s="18" t="str">
        <f aca="false">C137&amp;" "&amp;D137&amp;" spare part - Efforts Engineers"</f>
        <v>Sabroe SMC 100 Series Safety Head and Relief Valve spare part - Efforts Engineers</v>
      </c>
      <c r="P137" s="16" t="str">
        <f aca="false">IFERROR("/"&amp;LOWER(B137)&amp;"/"&amp;INDEX(Series!$D$2:$D$30,MATCH(C137,Series!$B$2:$B$30,0))&amp;"/"&amp;INDEX(Part_Categories!$C$2:$C$18,MATCH(D137,Part_Categories!$B$2:$B$18,0)),"CHECK")</f>
        <v>/sabroe/smc-100/safety-head-and-relief-valve</v>
      </c>
      <c r="Q137" s="19"/>
    </row>
    <row r="138" customFormat="false" ht="23.85" hidden="false" customHeight="false" outlineLevel="0" collapsed="false">
      <c r="A138" s="16" t="n">
        <f aca="false">ROW()-1</f>
        <v>137</v>
      </c>
      <c r="B138" s="17" t="s">
        <v>76</v>
      </c>
      <c r="C138" s="17" t="s">
        <v>114</v>
      </c>
      <c r="D138" s="17" t="s">
        <v>58</v>
      </c>
      <c r="E138" s="16" t="str">
        <f aca="false">IFERROR(INDEX(Lists!$B$2:$B$7,MATCH(B138,Lists!$A$2:$A$7,0))&amp;"-"&amp;INDEX(Series!$C$2:$C$30,MATCH(C138,Series!$B$2:$B$30,0))&amp;"-"&amp;INDEX(Part_Categories!$A$2:$A$18,MATCH(D138,Part_Categories!$B$2:$B$18,0))&amp;"-01","CHECK")</f>
        <v>SAB-SMC180-CLN-01</v>
      </c>
      <c r="F138" s="16" t="str">
        <f aca="false">E138&amp;".jpg"</f>
        <v>SAB-SMC180-CLN-01.jpg</v>
      </c>
      <c r="G138" s="18" t="str">
        <f aca="false">IFERROR(INDEX(Series!$F$2:$F$30,MATCH(C138,Series!$B$2:$B$30,0)),"")</f>
        <v>SMC 180</v>
      </c>
      <c r="H138" s="19"/>
      <c r="I138" s="19"/>
      <c r="J138" s="19"/>
      <c r="K138" s="19" t="s">
        <v>70</v>
      </c>
      <c r="L138" s="19"/>
      <c r="M138" s="19"/>
      <c r="N138" s="19"/>
      <c r="O138" s="18" t="str">
        <f aca="false">C138&amp;" "&amp;D138&amp;" spare part - Efforts Engineers"</f>
        <v>Sabroe SMC 180 Series Cylinder Liner spare part - Efforts Engineers</v>
      </c>
      <c r="P138" s="16" t="str">
        <f aca="false">IFERROR("/"&amp;LOWER(B138)&amp;"/"&amp;INDEX(Series!$D$2:$D$30,MATCH(C138,Series!$B$2:$B$30,0))&amp;"/"&amp;INDEX(Part_Categories!$C$2:$C$18,MATCH(D138,Part_Categories!$B$2:$B$18,0)),"CHECK")</f>
        <v>/sabroe/smc-180/cylinder-liner</v>
      </c>
      <c r="Q138" s="19"/>
    </row>
    <row r="139" customFormat="false" ht="23.85" hidden="false" customHeight="false" outlineLevel="0" collapsed="false">
      <c r="A139" s="16" t="n">
        <f aca="false">ROW()-1</f>
        <v>138</v>
      </c>
      <c r="B139" s="17" t="s">
        <v>76</v>
      </c>
      <c r="C139" s="17" t="s">
        <v>114</v>
      </c>
      <c r="D139" s="17" t="s">
        <v>91</v>
      </c>
      <c r="E139" s="16" t="str">
        <f aca="false">IFERROR(INDEX(Lists!$B$2:$B$7,MATCH(B139,Lists!$A$2:$A$7,0))&amp;"-"&amp;INDEX(Series!$C$2:$C$30,MATCH(C139,Series!$B$2:$B$30,0))&amp;"-"&amp;INDEX(Part_Categories!$A$2:$A$18,MATCH(D139,Part_Categories!$B$2:$B$18,0))&amp;"-01","CHECK")</f>
        <v>SAB-SMC180-PST-01</v>
      </c>
      <c r="F139" s="16" t="str">
        <f aca="false">E139&amp;".jpg"</f>
        <v>SAB-SMC180-PST-01.jpg</v>
      </c>
      <c r="G139" s="18" t="str">
        <f aca="false">IFERROR(INDEX(Series!$F$2:$F$30,MATCH(C139,Series!$B$2:$B$30,0)),"")</f>
        <v>SMC 180</v>
      </c>
      <c r="H139" s="19"/>
      <c r="I139" s="19"/>
      <c r="J139" s="19"/>
      <c r="K139" s="19" t="s">
        <v>70</v>
      </c>
      <c r="L139" s="19"/>
      <c r="M139" s="19"/>
      <c r="N139" s="19"/>
      <c r="O139" s="18" t="str">
        <f aca="false">C139&amp;" "&amp;D139&amp;" spare part - Efforts Engineers"</f>
        <v>Sabroe SMC 180 Series Piston Assembly spare part - Efforts Engineers</v>
      </c>
      <c r="P139" s="16" t="str">
        <f aca="false">IFERROR("/"&amp;LOWER(B139)&amp;"/"&amp;INDEX(Series!$D$2:$D$30,MATCH(C139,Series!$B$2:$B$30,0))&amp;"/"&amp;INDEX(Part_Categories!$C$2:$C$18,MATCH(D139,Part_Categories!$B$2:$B$18,0)),"CHECK")</f>
        <v>/sabroe/smc-180/piston-assembly</v>
      </c>
      <c r="Q139" s="19"/>
    </row>
    <row r="140" customFormat="false" ht="23.85" hidden="false" customHeight="false" outlineLevel="0" collapsed="false">
      <c r="A140" s="16" t="n">
        <f aca="false">ROW()-1</f>
        <v>139</v>
      </c>
      <c r="B140" s="17" t="s">
        <v>76</v>
      </c>
      <c r="C140" s="17" t="s">
        <v>114</v>
      </c>
      <c r="D140" s="17" t="s">
        <v>92</v>
      </c>
      <c r="E140" s="16" t="str">
        <f aca="false">IFERROR(INDEX(Lists!$B$2:$B$7,MATCH(B140,Lists!$A$2:$A$7,0))&amp;"-"&amp;INDEX(Series!$C$2:$C$30,MATCH(C140,Series!$B$2:$B$30,0))&amp;"-"&amp;INDEX(Part_Categories!$A$2:$A$18,MATCH(D140,Part_Categories!$B$2:$B$18,0))&amp;"-01","CHECK")</f>
        <v>SAB-SMC180-PRG-01</v>
      </c>
      <c r="F140" s="16" t="str">
        <f aca="false">E140&amp;".jpg"</f>
        <v>SAB-SMC180-PRG-01.jpg</v>
      </c>
      <c r="G140" s="18" t="str">
        <f aca="false">IFERROR(INDEX(Series!$F$2:$F$30,MATCH(C140,Series!$B$2:$B$30,0)),"")</f>
        <v>SMC 180</v>
      </c>
      <c r="H140" s="19"/>
      <c r="I140" s="19"/>
      <c r="J140" s="19"/>
      <c r="K140" s="19" t="s">
        <v>70</v>
      </c>
      <c r="L140" s="19"/>
      <c r="M140" s="19"/>
      <c r="N140" s="19"/>
      <c r="O140" s="18" t="str">
        <f aca="false">C140&amp;" "&amp;D140&amp;" spare part - Efforts Engineers"</f>
        <v>Sabroe SMC 180 Series Piston Ring Set spare part - Efforts Engineers</v>
      </c>
      <c r="P140" s="16" t="str">
        <f aca="false">IFERROR("/"&amp;LOWER(B140)&amp;"/"&amp;INDEX(Series!$D$2:$D$30,MATCH(C140,Series!$B$2:$B$30,0))&amp;"/"&amp;INDEX(Part_Categories!$C$2:$C$18,MATCH(D140,Part_Categories!$B$2:$B$18,0)),"CHECK")</f>
        <v>/sabroe/smc-180/piston-ring-set</v>
      </c>
      <c r="Q140" s="19"/>
    </row>
    <row r="141" customFormat="false" ht="23.85" hidden="false" customHeight="false" outlineLevel="0" collapsed="false">
      <c r="A141" s="16" t="n">
        <f aca="false">ROW()-1</f>
        <v>140</v>
      </c>
      <c r="B141" s="17" t="s">
        <v>76</v>
      </c>
      <c r="C141" s="17" t="s">
        <v>114</v>
      </c>
      <c r="D141" s="17" t="s">
        <v>93</v>
      </c>
      <c r="E141" s="16" t="str">
        <f aca="false">IFERROR(INDEX(Lists!$B$2:$B$7,MATCH(B141,Lists!$A$2:$A$7,0))&amp;"-"&amp;INDEX(Series!$C$2:$C$30,MATCH(C141,Series!$B$2:$B$30,0))&amp;"-"&amp;INDEX(Part_Categories!$A$2:$A$18,MATCH(D141,Part_Categories!$B$2:$B$18,0))&amp;"-01","CHECK")</f>
        <v>SAB-SMC180-CRD-01</v>
      </c>
      <c r="F141" s="16" t="str">
        <f aca="false">E141&amp;".jpg"</f>
        <v>SAB-SMC180-CRD-01.jpg</v>
      </c>
      <c r="G141" s="18" t="str">
        <f aca="false">IFERROR(INDEX(Series!$F$2:$F$30,MATCH(C141,Series!$B$2:$B$30,0)),"")</f>
        <v>SMC 180</v>
      </c>
      <c r="H141" s="19"/>
      <c r="I141" s="19"/>
      <c r="J141" s="19"/>
      <c r="K141" s="19" t="s">
        <v>70</v>
      </c>
      <c r="L141" s="19"/>
      <c r="M141" s="19"/>
      <c r="N141" s="19"/>
      <c r="O141" s="18" t="str">
        <f aca="false">C141&amp;" "&amp;D141&amp;" spare part - Efforts Engineers"</f>
        <v>Sabroe SMC 180 Series Connecting Rod spare part - Efforts Engineers</v>
      </c>
      <c r="P141" s="16" t="str">
        <f aca="false">IFERROR("/"&amp;LOWER(B141)&amp;"/"&amp;INDEX(Series!$D$2:$D$30,MATCH(C141,Series!$B$2:$B$30,0))&amp;"/"&amp;INDEX(Part_Categories!$C$2:$C$18,MATCH(D141,Part_Categories!$B$2:$B$18,0)),"CHECK")</f>
        <v>/sabroe/smc-180/connecting-rod</v>
      </c>
      <c r="Q141" s="19"/>
    </row>
    <row r="142" customFormat="false" ht="23.85" hidden="false" customHeight="false" outlineLevel="0" collapsed="false">
      <c r="A142" s="16" t="n">
        <f aca="false">ROW()-1</f>
        <v>141</v>
      </c>
      <c r="B142" s="17" t="s">
        <v>76</v>
      </c>
      <c r="C142" s="17" t="s">
        <v>114</v>
      </c>
      <c r="D142" s="17" t="s">
        <v>94</v>
      </c>
      <c r="E142" s="16" t="str">
        <f aca="false">IFERROR(INDEX(Lists!$B$2:$B$7,MATCH(B142,Lists!$A$2:$A$7,0))&amp;"-"&amp;INDEX(Series!$C$2:$C$30,MATCH(C142,Series!$B$2:$B$30,0))&amp;"-"&amp;INDEX(Part_Categories!$A$2:$A$18,MATCH(D142,Part_Categories!$B$2:$B$18,0))&amp;"-01","CHECK")</f>
        <v>SAB-SMC180-CRK-01</v>
      </c>
      <c r="F142" s="16" t="str">
        <f aca="false">E142&amp;".jpg"</f>
        <v>SAB-SMC180-CRK-01.jpg</v>
      </c>
      <c r="G142" s="18" t="str">
        <f aca="false">IFERROR(INDEX(Series!$F$2:$F$30,MATCH(C142,Series!$B$2:$B$30,0)),"")</f>
        <v>SMC 180</v>
      </c>
      <c r="H142" s="19"/>
      <c r="I142" s="19"/>
      <c r="J142" s="19"/>
      <c r="K142" s="19" t="s">
        <v>70</v>
      </c>
      <c r="L142" s="19"/>
      <c r="M142" s="19"/>
      <c r="N142" s="19"/>
      <c r="O142" s="18" t="str">
        <f aca="false">C142&amp;" "&amp;D142&amp;" spare part - Efforts Engineers"</f>
        <v>Sabroe SMC 180 Series Crankshaft spare part - Efforts Engineers</v>
      </c>
      <c r="P142" s="16" t="str">
        <f aca="false">IFERROR("/"&amp;LOWER(B142)&amp;"/"&amp;INDEX(Series!$D$2:$D$30,MATCH(C142,Series!$B$2:$B$30,0))&amp;"/"&amp;INDEX(Part_Categories!$C$2:$C$18,MATCH(D142,Part_Categories!$B$2:$B$18,0)),"CHECK")</f>
        <v>/sabroe/smc-180/crankshaft</v>
      </c>
      <c r="Q142" s="19"/>
    </row>
    <row r="143" customFormat="false" ht="23.85" hidden="false" customHeight="false" outlineLevel="0" collapsed="false">
      <c r="A143" s="16" t="n">
        <f aca="false">ROW()-1</f>
        <v>142</v>
      </c>
      <c r="B143" s="17" t="s">
        <v>76</v>
      </c>
      <c r="C143" s="17" t="s">
        <v>114</v>
      </c>
      <c r="D143" s="17" t="s">
        <v>95</v>
      </c>
      <c r="E143" s="16" t="str">
        <f aca="false">IFERROR(INDEX(Lists!$B$2:$B$7,MATCH(B143,Lists!$A$2:$A$7,0))&amp;"-"&amp;INDEX(Series!$C$2:$C$30,MATCH(C143,Series!$B$2:$B$30,0))&amp;"-"&amp;INDEX(Part_Categories!$A$2:$A$18,MATCH(D143,Part_Categories!$B$2:$B$18,0))&amp;"-01","CHECK")</f>
        <v>SAB-SMC180-PIN-01</v>
      </c>
      <c r="F143" s="16" t="str">
        <f aca="false">E143&amp;".jpg"</f>
        <v>SAB-SMC180-PIN-01.jpg</v>
      </c>
      <c r="G143" s="18" t="str">
        <f aca="false">IFERROR(INDEX(Series!$F$2:$F$30,MATCH(C143,Series!$B$2:$B$30,0)),"")</f>
        <v>SMC 180</v>
      </c>
      <c r="H143" s="19"/>
      <c r="I143" s="19"/>
      <c r="J143" s="19"/>
      <c r="K143" s="19" t="s">
        <v>70</v>
      </c>
      <c r="L143" s="19"/>
      <c r="M143" s="19"/>
      <c r="N143" s="19"/>
      <c r="O143" s="18" t="str">
        <f aca="false">C143&amp;" "&amp;D143&amp;" spare part - Efforts Engineers"</f>
        <v>Sabroe SMC 180 Series Gudgeon Pin and Bush spare part - Efforts Engineers</v>
      </c>
      <c r="P143" s="16" t="str">
        <f aca="false">IFERROR("/"&amp;LOWER(B143)&amp;"/"&amp;INDEX(Series!$D$2:$D$30,MATCH(C143,Series!$B$2:$B$30,0))&amp;"/"&amp;INDEX(Part_Categories!$C$2:$C$18,MATCH(D143,Part_Categories!$B$2:$B$18,0)),"CHECK")</f>
        <v>/sabroe/smc-180/gudgeon-pin-and-bush</v>
      </c>
      <c r="Q143" s="19"/>
    </row>
    <row r="144" customFormat="false" ht="23.85" hidden="false" customHeight="false" outlineLevel="0" collapsed="false">
      <c r="A144" s="16" t="n">
        <f aca="false">ROW()-1</f>
        <v>143</v>
      </c>
      <c r="B144" s="17" t="s">
        <v>76</v>
      </c>
      <c r="C144" s="17" t="s">
        <v>114</v>
      </c>
      <c r="D144" s="17" t="s">
        <v>96</v>
      </c>
      <c r="E144" s="16" t="str">
        <f aca="false">IFERROR(INDEX(Lists!$B$2:$B$7,MATCH(B144,Lists!$A$2:$A$7,0))&amp;"-"&amp;INDEX(Series!$C$2:$C$30,MATCH(C144,Series!$B$2:$B$30,0))&amp;"-"&amp;INDEX(Part_Categories!$A$2:$A$18,MATCH(D144,Part_Categories!$B$2:$B$18,0))&amp;"-01","CHECK")</f>
        <v>SAB-SMC180-BRG-01</v>
      </c>
      <c r="F144" s="16" t="str">
        <f aca="false">E144&amp;".jpg"</f>
        <v>SAB-SMC180-BRG-01.jpg</v>
      </c>
      <c r="G144" s="18" t="str">
        <f aca="false">IFERROR(INDEX(Series!$F$2:$F$30,MATCH(C144,Series!$B$2:$B$30,0)),"")</f>
        <v>SMC 180</v>
      </c>
      <c r="H144" s="19"/>
      <c r="I144" s="19"/>
      <c r="J144" s="19"/>
      <c r="K144" s="19" t="s">
        <v>70</v>
      </c>
      <c r="L144" s="19"/>
      <c r="M144" s="19"/>
      <c r="N144" s="19"/>
      <c r="O144" s="18" t="str">
        <f aca="false">C144&amp;" "&amp;D144&amp;" spare part - Efforts Engineers"</f>
        <v>Sabroe SMC 180 Series Main Bearing and Bush spare part - Efforts Engineers</v>
      </c>
      <c r="P144" s="16" t="str">
        <f aca="false">IFERROR("/"&amp;LOWER(B144)&amp;"/"&amp;INDEX(Series!$D$2:$D$30,MATCH(C144,Series!$B$2:$B$30,0))&amp;"/"&amp;INDEX(Part_Categories!$C$2:$C$18,MATCH(D144,Part_Categories!$B$2:$B$18,0)),"CHECK")</f>
        <v>/sabroe/smc-180/main-bearing-and-bush</v>
      </c>
      <c r="Q144" s="19"/>
    </row>
    <row r="145" customFormat="false" ht="23.85" hidden="false" customHeight="false" outlineLevel="0" collapsed="false">
      <c r="A145" s="16" t="n">
        <f aca="false">ROW()-1</f>
        <v>144</v>
      </c>
      <c r="B145" s="17" t="s">
        <v>76</v>
      </c>
      <c r="C145" s="17" t="s">
        <v>114</v>
      </c>
      <c r="D145" s="17" t="s">
        <v>97</v>
      </c>
      <c r="E145" s="16" t="str">
        <f aca="false">IFERROR(INDEX(Lists!$B$2:$B$7,MATCH(B145,Lists!$A$2:$A$7,0))&amp;"-"&amp;INDEX(Series!$C$2:$C$30,MATCH(C145,Series!$B$2:$B$30,0))&amp;"-"&amp;INDEX(Part_Categories!$A$2:$A$18,MATCH(D145,Part_Categories!$B$2:$B$18,0))&amp;"-01","CHECK")</f>
        <v>SAB-SMC180-SVP-01</v>
      </c>
      <c r="F145" s="16" t="str">
        <f aca="false">E145&amp;".jpg"</f>
        <v>SAB-SMC180-SVP-01.jpg</v>
      </c>
      <c r="G145" s="18" t="str">
        <f aca="false">IFERROR(INDEX(Series!$F$2:$F$30,MATCH(C145,Series!$B$2:$B$30,0)),"")</f>
        <v>SMC 180</v>
      </c>
      <c r="H145" s="19"/>
      <c r="I145" s="19"/>
      <c r="J145" s="19"/>
      <c r="K145" s="19" t="s">
        <v>70</v>
      </c>
      <c r="L145" s="19"/>
      <c r="M145" s="19"/>
      <c r="N145" s="19"/>
      <c r="O145" s="18" t="str">
        <f aca="false">C145&amp;" "&amp;D145&amp;" spare part - Efforts Engineers"</f>
        <v>Sabroe SMC 180 Series Suction Valve Plate spare part - Efforts Engineers</v>
      </c>
      <c r="P145" s="16" t="str">
        <f aca="false">IFERROR("/"&amp;LOWER(B145)&amp;"/"&amp;INDEX(Series!$D$2:$D$30,MATCH(C145,Series!$B$2:$B$30,0))&amp;"/"&amp;INDEX(Part_Categories!$C$2:$C$18,MATCH(D145,Part_Categories!$B$2:$B$18,0)),"CHECK")</f>
        <v>/sabroe/smc-180/suction-valve-plate</v>
      </c>
      <c r="Q145" s="19"/>
    </row>
    <row r="146" customFormat="false" ht="23.85" hidden="false" customHeight="false" outlineLevel="0" collapsed="false">
      <c r="A146" s="16" t="n">
        <f aca="false">ROW()-1</f>
        <v>145</v>
      </c>
      <c r="B146" s="17" t="s">
        <v>76</v>
      </c>
      <c r="C146" s="17" t="s">
        <v>114</v>
      </c>
      <c r="D146" s="17" t="s">
        <v>98</v>
      </c>
      <c r="E146" s="16" t="str">
        <f aca="false">IFERROR(INDEX(Lists!$B$2:$B$7,MATCH(B146,Lists!$A$2:$A$7,0))&amp;"-"&amp;INDEX(Series!$C$2:$C$30,MATCH(C146,Series!$B$2:$B$30,0))&amp;"-"&amp;INDEX(Part_Categories!$A$2:$A$18,MATCH(D146,Part_Categories!$B$2:$B$18,0))&amp;"-01","CHECK")</f>
        <v>SAB-SMC180-DVA-01</v>
      </c>
      <c r="F146" s="16" t="str">
        <f aca="false">E146&amp;".jpg"</f>
        <v>SAB-SMC180-DVA-01.jpg</v>
      </c>
      <c r="G146" s="18" t="str">
        <f aca="false">IFERROR(INDEX(Series!$F$2:$F$30,MATCH(C146,Series!$B$2:$B$30,0)),"")</f>
        <v>SMC 180</v>
      </c>
      <c r="H146" s="19"/>
      <c r="I146" s="19"/>
      <c r="J146" s="19"/>
      <c r="K146" s="19" t="s">
        <v>70</v>
      </c>
      <c r="L146" s="19"/>
      <c r="M146" s="19"/>
      <c r="N146" s="19"/>
      <c r="O146" s="18" t="str">
        <f aca="false">C146&amp;" "&amp;D146&amp;" spare part - Efforts Engineers"</f>
        <v>Sabroe SMC 180 Series Discharge Valve Assembly spare part - Efforts Engineers</v>
      </c>
      <c r="P146" s="16" t="str">
        <f aca="false">IFERROR("/"&amp;LOWER(B146)&amp;"/"&amp;INDEX(Series!$D$2:$D$30,MATCH(C146,Series!$B$2:$B$30,0))&amp;"/"&amp;INDEX(Part_Categories!$C$2:$C$18,MATCH(D146,Part_Categories!$B$2:$B$18,0)),"CHECK")</f>
        <v>/sabroe/smc-180/discharge-valve-assembly</v>
      </c>
      <c r="Q146" s="19"/>
    </row>
    <row r="147" customFormat="false" ht="23.85" hidden="false" customHeight="false" outlineLevel="0" collapsed="false">
      <c r="A147" s="16" t="n">
        <f aca="false">ROW()-1</f>
        <v>146</v>
      </c>
      <c r="B147" s="17" t="s">
        <v>76</v>
      </c>
      <c r="C147" s="17" t="s">
        <v>114</v>
      </c>
      <c r="D147" s="17" t="s">
        <v>99</v>
      </c>
      <c r="E147" s="16" t="str">
        <f aca="false">IFERROR(INDEX(Lists!$B$2:$B$7,MATCH(B147,Lists!$A$2:$A$7,0))&amp;"-"&amp;INDEX(Series!$C$2:$C$30,MATCH(C147,Series!$B$2:$B$30,0))&amp;"-"&amp;INDEX(Part_Categories!$A$2:$A$18,MATCH(D147,Part_Categories!$B$2:$B$18,0))&amp;"-01","CHECK")</f>
        <v>SAB-SMC180-VSP-01</v>
      </c>
      <c r="F147" s="16" t="str">
        <f aca="false">E147&amp;".jpg"</f>
        <v>SAB-SMC180-VSP-01.jpg</v>
      </c>
      <c r="G147" s="18" t="str">
        <f aca="false">IFERROR(INDEX(Series!$F$2:$F$30,MATCH(C147,Series!$B$2:$B$30,0)),"")</f>
        <v>SMC 180</v>
      </c>
      <c r="H147" s="19"/>
      <c r="I147" s="19"/>
      <c r="J147" s="19"/>
      <c r="K147" s="19" t="s">
        <v>70</v>
      </c>
      <c r="L147" s="19"/>
      <c r="M147" s="19"/>
      <c r="N147" s="19"/>
      <c r="O147" s="18" t="str">
        <f aca="false">C147&amp;" "&amp;D147&amp;" spare part - Efforts Engineers"</f>
        <v>Sabroe SMC 180 Series Valve Spring and Cage spare part - Efforts Engineers</v>
      </c>
      <c r="P147" s="16" t="str">
        <f aca="false">IFERROR("/"&amp;LOWER(B147)&amp;"/"&amp;INDEX(Series!$D$2:$D$30,MATCH(C147,Series!$B$2:$B$30,0))&amp;"/"&amp;INDEX(Part_Categories!$C$2:$C$18,MATCH(D147,Part_Categories!$B$2:$B$18,0)),"CHECK")</f>
        <v>/sabroe/smc-180/valve-spring-and-cage</v>
      </c>
      <c r="Q147" s="19"/>
    </row>
    <row r="148" customFormat="false" ht="23.85" hidden="false" customHeight="false" outlineLevel="0" collapsed="false">
      <c r="A148" s="16" t="n">
        <f aca="false">ROW()-1</f>
        <v>147</v>
      </c>
      <c r="B148" s="17" t="s">
        <v>76</v>
      </c>
      <c r="C148" s="17" t="s">
        <v>114</v>
      </c>
      <c r="D148" s="17" t="s">
        <v>100</v>
      </c>
      <c r="E148" s="16" t="str">
        <f aca="false">IFERROR(INDEX(Lists!$B$2:$B$7,MATCH(B148,Lists!$A$2:$A$7,0))&amp;"-"&amp;INDEX(Series!$C$2:$C$30,MATCH(C148,Series!$B$2:$B$30,0))&amp;"-"&amp;INDEX(Part_Categories!$A$2:$A$18,MATCH(D148,Part_Categories!$B$2:$B$18,0))&amp;"-01","CHECK")</f>
        <v>SAB-SMC180-HDC-01</v>
      </c>
      <c r="F148" s="16" t="str">
        <f aca="false">E148&amp;".jpg"</f>
        <v>SAB-SMC180-HDC-01.jpg</v>
      </c>
      <c r="G148" s="18" t="str">
        <f aca="false">IFERROR(INDEX(Series!$F$2:$F$30,MATCH(C148,Series!$B$2:$B$30,0)),"")</f>
        <v>SMC 180</v>
      </c>
      <c r="H148" s="19"/>
      <c r="I148" s="19"/>
      <c r="J148" s="19"/>
      <c r="K148" s="19" t="s">
        <v>70</v>
      </c>
      <c r="L148" s="19"/>
      <c r="M148" s="19"/>
      <c r="N148" s="19"/>
      <c r="O148" s="18" t="str">
        <f aca="false">C148&amp;" "&amp;D148&amp;" spare part - Efforts Engineers"</f>
        <v>Sabroe SMC 180 Series Cylinder Head Cover spare part - Efforts Engineers</v>
      </c>
      <c r="P148" s="16" t="str">
        <f aca="false">IFERROR("/"&amp;LOWER(B148)&amp;"/"&amp;INDEX(Series!$D$2:$D$30,MATCH(C148,Series!$B$2:$B$30,0))&amp;"/"&amp;INDEX(Part_Categories!$C$2:$C$18,MATCH(D148,Part_Categories!$B$2:$B$18,0)),"CHECK")</f>
        <v>/sabroe/smc-180/cylinder-head-cover</v>
      </c>
      <c r="Q148" s="19"/>
    </row>
    <row r="149" customFormat="false" ht="23.85" hidden="false" customHeight="false" outlineLevel="0" collapsed="false">
      <c r="A149" s="16" t="n">
        <f aca="false">ROW()-1</f>
        <v>148</v>
      </c>
      <c r="B149" s="17" t="s">
        <v>76</v>
      </c>
      <c r="C149" s="17" t="s">
        <v>114</v>
      </c>
      <c r="D149" s="17" t="s">
        <v>101</v>
      </c>
      <c r="E149" s="16" t="str">
        <f aca="false">IFERROR(INDEX(Lists!$B$2:$B$7,MATCH(B149,Lists!$A$2:$A$7,0))&amp;"-"&amp;INDEX(Series!$C$2:$C$30,MATCH(C149,Series!$B$2:$B$30,0))&amp;"-"&amp;INDEX(Part_Categories!$A$2:$A$18,MATCH(D149,Part_Categories!$B$2:$B$18,0))&amp;"-01","CHECK")</f>
        <v>SAB-SMC180-GSK-01</v>
      </c>
      <c r="F149" s="16" t="str">
        <f aca="false">E149&amp;".jpg"</f>
        <v>SAB-SMC180-GSK-01.jpg</v>
      </c>
      <c r="G149" s="18" t="str">
        <f aca="false">IFERROR(INDEX(Series!$F$2:$F$30,MATCH(C149,Series!$B$2:$B$30,0)),"")</f>
        <v>SMC 180</v>
      </c>
      <c r="H149" s="19"/>
      <c r="I149" s="19"/>
      <c r="J149" s="19"/>
      <c r="K149" s="19" t="s">
        <v>70</v>
      </c>
      <c r="L149" s="19"/>
      <c r="M149" s="19"/>
      <c r="N149" s="19"/>
      <c r="O149" s="18" t="str">
        <f aca="false">C149&amp;" "&amp;D149&amp;" spare part - Efforts Engineers"</f>
        <v>Sabroe SMC 180 Series Gasket and Overhaul Kit spare part - Efforts Engineers</v>
      </c>
      <c r="P149" s="16" t="str">
        <f aca="false">IFERROR("/"&amp;LOWER(B149)&amp;"/"&amp;INDEX(Series!$D$2:$D$30,MATCH(C149,Series!$B$2:$B$30,0))&amp;"/"&amp;INDEX(Part_Categories!$C$2:$C$18,MATCH(D149,Part_Categories!$B$2:$B$18,0)),"CHECK")</f>
        <v>/sabroe/smc-180/gasket-and-overhaul-kit</v>
      </c>
      <c r="Q149" s="19"/>
    </row>
    <row r="150" customFormat="false" ht="23.85" hidden="false" customHeight="false" outlineLevel="0" collapsed="false">
      <c r="A150" s="16" t="n">
        <f aca="false">ROW()-1</f>
        <v>149</v>
      </c>
      <c r="B150" s="17" t="s">
        <v>76</v>
      </c>
      <c r="C150" s="17" t="s">
        <v>114</v>
      </c>
      <c r="D150" s="17" t="s">
        <v>102</v>
      </c>
      <c r="E150" s="16" t="str">
        <f aca="false">IFERROR(INDEX(Lists!$B$2:$B$7,MATCH(B150,Lists!$A$2:$A$7,0))&amp;"-"&amp;INDEX(Series!$C$2:$C$30,MATCH(C150,Series!$B$2:$B$30,0))&amp;"-"&amp;INDEX(Part_Categories!$A$2:$A$18,MATCH(D150,Part_Categories!$B$2:$B$18,0))&amp;"-01","CHECK")</f>
        <v>SAB-SMC180-OPA-01</v>
      </c>
      <c r="F150" s="16" t="str">
        <f aca="false">E150&amp;".jpg"</f>
        <v>SAB-SMC180-OPA-01.jpg</v>
      </c>
      <c r="G150" s="18" t="str">
        <f aca="false">IFERROR(INDEX(Series!$F$2:$F$30,MATCH(C150,Series!$B$2:$B$30,0)),"")</f>
        <v>SMC 180</v>
      </c>
      <c r="H150" s="19"/>
      <c r="I150" s="19"/>
      <c r="J150" s="19"/>
      <c r="K150" s="19" t="s">
        <v>70</v>
      </c>
      <c r="L150" s="19"/>
      <c r="M150" s="19"/>
      <c r="N150" s="19"/>
      <c r="O150" s="18" t="str">
        <f aca="false">C150&amp;" "&amp;D150&amp;" spare part - Efforts Engineers"</f>
        <v>Sabroe SMC 180 Series Oil Pump Assembly spare part - Efforts Engineers</v>
      </c>
      <c r="P150" s="16" t="str">
        <f aca="false">IFERROR("/"&amp;LOWER(B150)&amp;"/"&amp;INDEX(Series!$D$2:$D$30,MATCH(C150,Series!$B$2:$B$30,0))&amp;"/"&amp;INDEX(Part_Categories!$C$2:$C$18,MATCH(D150,Part_Categories!$B$2:$B$18,0)),"CHECK")</f>
        <v>/sabroe/smc-180/oil-pump-assembly</v>
      </c>
      <c r="Q150" s="19"/>
    </row>
    <row r="151" customFormat="false" ht="23.85" hidden="false" customHeight="false" outlineLevel="0" collapsed="false">
      <c r="A151" s="16" t="n">
        <f aca="false">ROW()-1</f>
        <v>150</v>
      </c>
      <c r="B151" s="17" t="s">
        <v>76</v>
      </c>
      <c r="C151" s="17" t="s">
        <v>114</v>
      </c>
      <c r="D151" s="17" t="s">
        <v>103</v>
      </c>
      <c r="E151" s="16" t="str">
        <f aca="false">IFERROR(INDEX(Lists!$B$2:$B$7,MATCH(B151,Lists!$A$2:$A$7,0))&amp;"-"&amp;INDEX(Series!$C$2:$C$30,MATCH(C151,Series!$B$2:$B$30,0))&amp;"-"&amp;INDEX(Part_Categories!$A$2:$A$18,MATCH(D151,Part_Categories!$B$2:$B$18,0))&amp;"-01","CHECK")</f>
        <v>SAB-SMC180-SHS-01</v>
      </c>
      <c r="F151" s="16" t="str">
        <f aca="false">E151&amp;".jpg"</f>
        <v>SAB-SMC180-SHS-01.jpg</v>
      </c>
      <c r="G151" s="18" t="str">
        <f aca="false">IFERROR(INDEX(Series!$F$2:$F$30,MATCH(C151,Series!$B$2:$B$30,0)),"")</f>
        <v>SMC 180</v>
      </c>
      <c r="H151" s="19"/>
      <c r="I151" s="19"/>
      <c r="J151" s="19"/>
      <c r="K151" s="19" t="s">
        <v>70</v>
      </c>
      <c r="L151" s="19"/>
      <c r="M151" s="19"/>
      <c r="N151" s="19"/>
      <c r="O151" s="18" t="str">
        <f aca="false">C151&amp;" "&amp;D151&amp;" spare part - Efforts Engineers"</f>
        <v>Sabroe SMC 180 Series Shaft Seal spare part - Efforts Engineers</v>
      </c>
      <c r="P151" s="16" t="str">
        <f aca="false">IFERROR("/"&amp;LOWER(B151)&amp;"/"&amp;INDEX(Series!$D$2:$D$30,MATCH(C151,Series!$B$2:$B$30,0))&amp;"/"&amp;INDEX(Part_Categories!$C$2:$C$18,MATCH(D151,Part_Categories!$B$2:$B$18,0)),"CHECK")</f>
        <v>/sabroe/smc-180/shaft-seal</v>
      </c>
      <c r="Q151" s="19"/>
    </row>
    <row r="152" customFormat="false" ht="23.85" hidden="false" customHeight="false" outlineLevel="0" collapsed="false">
      <c r="A152" s="16" t="n">
        <f aca="false">ROW()-1</f>
        <v>151</v>
      </c>
      <c r="B152" s="17" t="s">
        <v>76</v>
      </c>
      <c r="C152" s="17" t="s">
        <v>114</v>
      </c>
      <c r="D152" s="17" t="s">
        <v>104</v>
      </c>
      <c r="E152" s="16" t="str">
        <f aca="false">IFERROR(INDEX(Lists!$B$2:$B$7,MATCH(B152,Lists!$A$2:$A$7,0))&amp;"-"&amp;INDEX(Series!$C$2:$C$30,MATCH(C152,Series!$B$2:$B$30,0))&amp;"-"&amp;INDEX(Part_Categories!$A$2:$A$18,MATCH(D152,Part_Categories!$B$2:$B$18,0))&amp;"-01","CHECK")</f>
        <v>SAB-SMC180-FLT-01</v>
      </c>
      <c r="F152" s="16" t="str">
        <f aca="false">E152&amp;".jpg"</f>
        <v>SAB-SMC180-FLT-01.jpg</v>
      </c>
      <c r="G152" s="18" t="str">
        <f aca="false">IFERROR(INDEX(Series!$F$2:$F$30,MATCH(C152,Series!$B$2:$B$30,0)),"")</f>
        <v>SMC 180</v>
      </c>
      <c r="H152" s="19"/>
      <c r="I152" s="19"/>
      <c r="J152" s="19"/>
      <c r="K152" s="19" t="s">
        <v>70</v>
      </c>
      <c r="L152" s="19"/>
      <c r="M152" s="19"/>
      <c r="N152" s="19"/>
      <c r="O152" s="18" t="str">
        <f aca="false">C152&amp;" "&amp;D152&amp;" spare part - Efforts Engineers"</f>
        <v>Sabroe SMC 180 Series Oil Filter and Strainer spare part - Efforts Engineers</v>
      </c>
      <c r="P152" s="16" t="str">
        <f aca="false">IFERROR("/"&amp;LOWER(B152)&amp;"/"&amp;INDEX(Series!$D$2:$D$30,MATCH(C152,Series!$B$2:$B$30,0))&amp;"/"&amp;INDEX(Part_Categories!$C$2:$C$18,MATCH(D152,Part_Categories!$B$2:$B$18,0)),"CHECK")</f>
        <v>/sabroe/smc-180/oil-filter-and-strainer</v>
      </c>
      <c r="Q152" s="19"/>
    </row>
    <row r="153" customFormat="false" ht="23.85" hidden="false" customHeight="false" outlineLevel="0" collapsed="false">
      <c r="A153" s="16" t="n">
        <f aca="false">ROW()-1</f>
        <v>152</v>
      </c>
      <c r="B153" s="17" t="s">
        <v>76</v>
      </c>
      <c r="C153" s="17" t="s">
        <v>114</v>
      </c>
      <c r="D153" s="17" t="s">
        <v>105</v>
      </c>
      <c r="E153" s="16" t="str">
        <f aca="false">IFERROR(INDEX(Lists!$B$2:$B$7,MATCH(B153,Lists!$A$2:$A$7,0))&amp;"-"&amp;INDEX(Series!$C$2:$C$30,MATCH(C153,Series!$B$2:$B$30,0))&amp;"-"&amp;INDEX(Part_Categories!$A$2:$A$18,MATCH(D153,Part_Categories!$B$2:$B$18,0))&amp;"-01","CHECK")</f>
        <v>SAB-SMC180-ULD-01</v>
      </c>
      <c r="F153" s="16" t="str">
        <f aca="false">E153&amp;".jpg"</f>
        <v>SAB-SMC180-ULD-01.jpg</v>
      </c>
      <c r="G153" s="18" t="str">
        <f aca="false">IFERROR(INDEX(Series!$F$2:$F$30,MATCH(C153,Series!$B$2:$B$30,0)),"")</f>
        <v>SMC 180</v>
      </c>
      <c r="H153" s="19"/>
      <c r="I153" s="19"/>
      <c r="J153" s="19"/>
      <c r="K153" s="19" t="s">
        <v>70</v>
      </c>
      <c r="L153" s="19"/>
      <c r="M153" s="19"/>
      <c r="N153" s="19"/>
      <c r="O153" s="18" t="str">
        <f aca="false">C153&amp;" "&amp;D153&amp;" spare part - Efforts Engineers"</f>
        <v>Sabroe SMC 180 Series Unloader and Capacity Control spare part - Efforts Engineers</v>
      </c>
      <c r="P153" s="16" t="str">
        <f aca="false">IFERROR("/"&amp;LOWER(B153)&amp;"/"&amp;INDEX(Series!$D$2:$D$30,MATCH(C153,Series!$B$2:$B$30,0))&amp;"/"&amp;INDEX(Part_Categories!$C$2:$C$18,MATCH(D153,Part_Categories!$B$2:$B$18,0)),"CHECK")</f>
        <v>/sabroe/smc-180/unloader-and-capacity-control</v>
      </c>
      <c r="Q153" s="19"/>
    </row>
    <row r="154" customFormat="false" ht="23.85" hidden="false" customHeight="false" outlineLevel="0" collapsed="false">
      <c r="A154" s="16" t="n">
        <f aca="false">ROW()-1</f>
        <v>153</v>
      </c>
      <c r="B154" s="17" t="s">
        <v>76</v>
      </c>
      <c r="C154" s="17" t="s">
        <v>114</v>
      </c>
      <c r="D154" s="17" t="s">
        <v>106</v>
      </c>
      <c r="E154" s="16" t="str">
        <f aca="false">IFERROR(INDEX(Lists!$B$2:$B$7,MATCH(B154,Lists!$A$2:$A$7,0))&amp;"-"&amp;INDEX(Series!$C$2:$C$30,MATCH(C154,Series!$B$2:$B$30,0))&amp;"-"&amp;INDEX(Part_Categories!$A$2:$A$18,MATCH(D154,Part_Categories!$B$2:$B$18,0))&amp;"-01","CHECK")</f>
        <v>SAB-SMC180-SAF-01</v>
      </c>
      <c r="F154" s="16" t="str">
        <f aca="false">E154&amp;".jpg"</f>
        <v>SAB-SMC180-SAF-01.jpg</v>
      </c>
      <c r="G154" s="18" t="str">
        <f aca="false">IFERROR(INDEX(Series!$F$2:$F$30,MATCH(C154,Series!$B$2:$B$30,0)),"")</f>
        <v>SMC 180</v>
      </c>
      <c r="H154" s="19"/>
      <c r="I154" s="19"/>
      <c r="J154" s="19"/>
      <c r="K154" s="19" t="s">
        <v>70</v>
      </c>
      <c r="L154" s="19"/>
      <c r="M154" s="19"/>
      <c r="N154" s="19"/>
      <c r="O154" s="18" t="str">
        <f aca="false">C154&amp;" "&amp;D154&amp;" spare part - Efforts Engineers"</f>
        <v>Sabroe SMC 180 Series Safety Head and Relief Valve spare part - Efforts Engineers</v>
      </c>
      <c r="P154" s="16" t="str">
        <f aca="false">IFERROR("/"&amp;LOWER(B154)&amp;"/"&amp;INDEX(Series!$D$2:$D$30,MATCH(C154,Series!$B$2:$B$30,0))&amp;"/"&amp;INDEX(Part_Categories!$C$2:$C$18,MATCH(D154,Part_Categories!$B$2:$B$18,0)),"CHECK")</f>
        <v>/sabroe/smc-180/safety-head-and-relief-valve</v>
      </c>
      <c r="Q154" s="19"/>
    </row>
    <row r="155" customFormat="false" ht="23.85" hidden="false" customHeight="false" outlineLevel="0" collapsed="false">
      <c r="A155" s="16" t="n">
        <f aca="false">ROW()-1</f>
        <v>154</v>
      </c>
      <c r="B155" s="17" t="s">
        <v>76</v>
      </c>
      <c r="C155" s="17" t="s">
        <v>115</v>
      </c>
      <c r="D155" s="17" t="s">
        <v>58</v>
      </c>
      <c r="E155" s="16" t="str">
        <f aca="false">IFERROR(INDEX(Lists!$B$2:$B$7,MATCH(B155,Lists!$A$2:$A$7,0))&amp;"-"&amp;INDEX(Series!$C$2:$C$30,MATCH(C155,Series!$B$2:$B$30,0))&amp;"-"&amp;INDEX(Part_Categories!$A$2:$A$18,MATCH(D155,Part_Categories!$B$2:$B$18,0))&amp;"-01","CHECK")</f>
        <v>SAB-HPO-CLN-01</v>
      </c>
      <c r="F155" s="16" t="str">
        <f aca="false">E155&amp;".jpg"</f>
        <v>SAB-HPO-CLN-01.jpg</v>
      </c>
      <c r="G155" s="18" t="str">
        <f aca="false">IFERROR(INDEX(Series!$F$2:$F$30,MATCH(C155,Series!$B$2:$B$30,0)),"")</f>
        <v>HPO 24, HPO / HPC (other sizes to add)</v>
      </c>
      <c r="H155" s="19"/>
      <c r="I155" s="19"/>
      <c r="J155" s="19"/>
      <c r="K155" s="19" t="s">
        <v>70</v>
      </c>
      <c r="L155" s="19"/>
      <c r="M155" s="19"/>
      <c r="N155" s="19"/>
      <c r="O155" s="18" t="str">
        <f aca="false">C155&amp;" "&amp;D155&amp;" spare part - Efforts Engineers"</f>
        <v>Sabroe HPO and HPC Series Cylinder Liner spare part - Efforts Engineers</v>
      </c>
      <c r="P155" s="16" t="str">
        <f aca="false">IFERROR("/"&amp;LOWER(B155)&amp;"/"&amp;INDEX(Series!$D$2:$D$30,MATCH(C155,Series!$B$2:$B$30,0))&amp;"/"&amp;INDEX(Part_Categories!$C$2:$C$18,MATCH(D155,Part_Categories!$B$2:$B$18,0)),"CHECK")</f>
        <v>/sabroe/hpo-hpc/cylinder-liner</v>
      </c>
      <c r="Q155" s="19"/>
    </row>
    <row r="156" customFormat="false" ht="23.85" hidden="false" customHeight="false" outlineLevel="0" collapsed="false">
      <c r="A156" s="16" t="n">
        <f aca="false">ROW()-1</f>
        <v>155</v>
      </c>
      <c r="B156" s="17" t="s">
        <v>76</v>
      </c>
      <c r="C156" s="17" t="s">
        <v>115</v>
      </c>
      <c r="D156" s="17" t="s">
        <v>91</v>
      </c>
      <c r="E156" s="16" t="str">
        <f aca="false">IFERROR(INDEX(Lists!$B$2:$B$7,MATCH(B156,Lists!$A$2:$A$7,0))&amp;"-"&amp;INDEX(Series!$C$2:$C$30,MATCH(C156,Series!$B$2:$B$30,0))&amp;"-"&amp;INDEX(Part_Categories!$A$2:$A$18,MATCH(D156,Part_Categories!$B$2:$B$18,0))&amp;"-01","CHECK")</f>
        <v>SAB-HPO-PST-01</v>
      </c>
      <c r="F156" s="16" t="str">
        <f aca="false">E156&amp;".jpg"</f>
        <v>SAB-HPO-PST-01.jpg</v>
      </c>
      <c r="G156" s="18" t="str">
        <f aca="false">IFERROR(INDEX(Series!$F$2:$F$30,MATCH(C156,Series!$B$2:$B$30,0)),"")</f>
        <v>HPO 24, HPO / HPC (other sizes to add)</v>
      </c>
      <c r="H156" s="19"/>
      <c r="I156" s="19"/>
      <c r="J156" s="19"/>
      <c r="K156" s="19" t="s">
        <v>70</v>
      </c>
      <c r="L156" s="19"/>
      <c r="M156" s="19"/>
      <c r="N156" s="19"/>
      <c r="O156" s="18" t="str">
        <f aca="false">C156&amp;" "&amp;D156&amp;" spare part - Efforts Engineers"</f>
        <v>Sabroe HPO and HPC Series Piston Assembly spare part - Efforts Engineers</v>
      </c>
      <c r="P156" s="16" t="str">
        <f aca="false">IFERROR("/"&amp;LOWER(B156)&amp;"/"&amp;INDEX(Series!$D$2:$D$30,MATCH(C156,Series!$B$2:$B$30,0))&amp;"/"&amp;INDEX(Part_Categories!$C$2:$C$18,MATCH(D156,Part_Categories!$B$2:$B$18,0)),"CHECK")</f>
        <v>/sabroe/hpo-hpc/piston-assembly</v>
      </c>
      <c r="Q156" s="19"/>
    </row>
    <row r="157" customFormat="false" ht="23.85" hidden="false" customHeight="false" outlineLevel="0" collapsed="false">
      <c r="A157" s="16" t="n">
        <f aca="false">ROW()-1</f>
        <v>156</v>
      </c>
      <c r="B157" s="17" t="s">
        <v>76</v>
      </c>
      <c r="C157" s="17" t="s">
        <v>115</v>
      </c>
      <c r="D157" s="17" t="s">
        <v>92</v>
      </c>
      <c r="E157" s="16" t="str">
        <f aca="false">IFERROR(INDEX(Lists!$B$2:$B$7,MATCH(B157,Lists!$A$2:$A$7,0))&amp;"-"&amp;INDEX(Series!$C$2:$C$30,MATCH(C157,Series!$B$2:$B$30,0))&amp;"-"&amp;INDEX(Part_Categories!$A$2:$A$18,MATCH(D157,Part_Categories!$B$2:$B$18,0))&amp;"-01","CHECK")</f>
        <v>SAB-HPO-PRG-01</v>
      </c>
      <c r="F157" s="16" t="str">
        <f aca="false">E157&amp;".jpg"</f>
        <v>SAB-HPO-PRG-01.jpg</v>
      </c>
      <c r="G157" s="18" t="str">
        <f aca="false">IFERROR(INDEX(Series!$F$2:$F$30,MATCH(C157,Series!$B$2:$B$30,0)),"")</f>
        <v>HPO 24, HPO / HPC (other sizes to add)</v>
      </c>
      <c r="H157" s="19"/>
      <c r="I157" s="19"/>
      <c r="J157" s="19"/>
      <c r="K157" s="19" t="s">
        <v>70</v>
      </c>
      <c r="L157" s="19"/>
      <c r="M157" s="19"/>
      <c r="N157" s="19"/>
      <c r="O157" s="18" t="str">
        <f aca="false">C157&amp;" "&amp;D157&amp;" spare part - Efforts Engineers"</f>
        <v>Sabroe HPO and HPC Series Piston Ring Set spare part - Efforts Engineers</v>
      </c>
      <c r="P157" s="16" t="str">
        <f aca="false">IFERROR("/"&amp;LOWER(B157)&amp;"/"&amp;INDEX(Series!$D$2:$D$30,MATCH(C157,Series!$B$2:$B$30,0))&amp;"/"&amp;INDEX(Part_Categories!$C$2:$C$18,MATCH(D157,Part_Categories!$B$2:$B$18,0)),"CHECK")</f>
        <v>/sabroe/hpo-hpc/piston-ring-set</v>
      </c>
      <c r="Q157" s="19"/>
    </row>
    <row r="158" customFormat="false" ht="23.85" hidden="false" customHeight="false" outlineLevel="0" collapsed="false">
      <c r="A158" s="16" t="n">
        <f aca="false">ROW()-1</f>
        <v>157</v>
      </c>
      <c r="B158" s="17" t="s">
        <v>76</v>
      </c>
      <c r="C158" s="17" t="s">
        <v>115</v>
      </c>
      <c r="D158" s="17" t="s">
        <v>93</v>
      </c>
      <c r="E158" s="16" t="str">
        <f aca="false">IFERROR(INDEX(Lists!$B$2:$B$7,MATCH(B158,Lists!$A$2:$A$7,0))&amp;"-"&amp;INDEX(Series!$C$2:$C$30,MATCH(C158,Series!$B$2:$B$30,0))&amp;"-"&amp;INDEX(Part_Categories!$A$2:$A$18,MATCH(D158,Part_Categories!$B$2:$B$18,0))&amp;"-01","CHECK")</f>
        <v>SAB-HPO-CRD-01</v>
      </c>
      <c r="F158" s="16" t="str">
        <f aca="false">E158&amp;".jpg"</f>
        <v>SAB-HPO-CRD-01.jpg</v>
      </c>
      <c r="G158" s="18" t="str">
        <f aca="false">IFERROR(INDEX(Series!$F$2:$F$30,MATCH(C158,Series!$B$2:$B$30,0)),"")</f>
        <v>HPO 24, HPO / HPC (other sizes to add)</v>
      </c>
      <c r="H158" s="19"/>
      <c r="I158" s="19"/>
      <c r="J158" s="19"/>
      <c r="K158" s="19" t="s">
        <v>70</v>
      </c>
      <c r="L158" s="19"/>
      <c r="M158" s="19"/>
      <c r="N158" s="19"/>
      <c r="O158" s="18" t="str">
        <f aca="false">C158&amp;" "&amp;D158&amp;" spare part - Efforts Engineers"</f>
        <v>Sabroe HPO and HPC Series Connecting Rod spare part - Efforts Engineers</v>
      </c>
      <c r="P158" s="16" t="str">
        <f aca="false">IFERROR("/"&amp;LOWER(B158)&amp;"/"&amp;INDEX(Series!$D$2:$D$30,MATCH(C158,Series!$B$2:$B$30,0))&amp;"/"&amp;INDEX(Part_Categories!$C$2:$C$18,MATCH(D158,Part_Categories!$B$2:$B$18,0)),"CHECK")</f>
        <v>/sabroe/hpo-hpc/connecting-rod</v>
      </c>
      <c r="Q158" s="19"/>
    </row>
    <row r="159" customFormat="false" ht="23.85" hidden="false" customHeight="false" outlineLevel="0" collapsed="false">
      <c r="A159" s="16" t="n">
        <f aca="false">ROW()-1</f>
        <v>158</v>
      </c>
      <c r="B159" s="17" t="s">
        <v>76</v>
      </c>
      <c r="C159" s="17" t="s">
        <v>115</v>
      </c>
      <c r="D159" s="17" t="s">
        <v>94</v>
      </c>
      <c r="E159" s="16" t="str">
        <f aca="false">IFERROR(INDEX(Lists!$B$2:$B$7,MATCH(B159,Lists!$A$2:$A$7,0))&amp;"-"&amp;INDEX(Series!$C$2:$C$30,MATCH(C159,Series!$B$2:$B$30,0))&amp;"-"&amp;INDEX(Part_Categories!$A$2:$A$18,MATCH(D159,Part_Categories!$B$2:$B$18,0))&amp;"-01","CHECK")</f>
        <v>SAB-HPO-CRK-01</v>
      </c>
      <c r="F159" s="16" t="str">
        <f aca="false">E159&amp;".jpg"</f>
        <v>SAB-HPO-CRK-01.jpg</v>
      </c>
      <c r="G159" s="18" t="str">
        <f aca="false">IFERROR(INDEX(Series!$F$2:$F$30,MATCH(C159,Series!$B$2:$B$30,0)),"")</f>
        <v>HPO 24, HPO / HPC (other sizes to add)</v>
      </c>
      <c r="H159" s="19"/>
      <c r="I159" s="19"/>
      <c r="J159" s="19"/>
      <c r="K159" s="19" t="s">
        <v>70</v>
      </c>
      <c r="L159" s="19"/>
      <c r="M159" s="19"/>
      <c r="N159" s="19"/>
      <c r="O159" s="18" t="str">
        <f aca="false">C159&amp;" "&amp;D159&amp;" spare part - Efforts Engineers"</f>
        <v>Sabroe HPO and HPC Series Crankshaft spare part - Efforts Engineers</v>
      </c>
      <c r="P159" s="16" t="str">
        <f aca="false">IFERROR("/"&amp;LOWER(B159)&amp;"/"&amp;INDEX(Series!$D$2:$D$30,MATCH(C159,Series!$B$2:$B$30,0))&amp;"/"&amp;INDEX(Part_Categories!$C$2:$C$18,MATCH(D159,Part_Categories!$B$2:$B$18,0)),"CHECK")</f>
        <v>/sabroe/hpo-hpc/crankshaft</v>
      </c>
      <c r="Q159" s="19"/>
    </row>
    <row r="160" customFormat="false" ht="23.85" hidden="false" customHeight="false" outlineLevel="0" collapsed="false">
      <c r="A160" s="16" t="n">
        <f aca="false">ROW()-1</f>
        <v>159</v>
      </c>
      <c r="B160" s="17" t="s">
        <v>76</v>
      </c>
      <c r="C160" s="17" t="s">
        <v>115</v>
      </c>
      <c r="D160" s="17" t="s">
        <v>95</v>
      </c>
      <c r="E160" s="16" t="str">
        <f aca="false">IFERROR(INDEX(Lists!$B$2:$B$7,MATCH(B160,Lists!$A$2:$A$7,0))&amp;"-"&amp;INDEX(Series!$C$2:$C$30,MATCH(C160,Series!$B$2:$B$30,0))&amp;"-"&amp;INDEX(Part_Categories!$A$2:$A$18,MATCH(D160,Part_Categories!$B$2:$B$18,0))&amp;"-01","CHECK")</f>
        <v>SAB-HPO-PIN-01</v>
      </c>
      <c r="F160" s="16" t="str">
        <f aca="false">E160&amp;".jpg"</f>
        <v>SAB-HPO-PIN-01.jpg</v>
      </c>
      <c r="G160" s="18" t="str">
        <f aca="false">IFERROR(INDEX(Series!$F$2:$F$30,MATCH(C160,Series!$B$2:$B$30,0)),"")</f>
        <v>HPO 24, HPO / HPC (other sizes to add)</v>
      </c>
      <c r="H160" s="19"/>
      <c r="I160" s="19"/>
      <c r="J160" s="19"/>
      <c r="K160" s="19" t="s">
        <v>70</v>
      </c>
      <c r="L160" s="19"/>
      <c r="M160" s="19"/>
      <c r="N160" s="19"/>
      <c r="O160" s="18" t="str">
        <f aca="false">C160&amp;" "&amp;D160&amp;" spare part - Efforts Engineers"</f>
        <v>Sabroe HPO and HPC Series Gudgeon Pin and Bush spare part - Efforts Engineers</v>
      </c>
      <c r="P160" s="16" t="str">
        <f aca="false">IFERROR("/"&amp;LOWER(B160)&amp;"/"&amp;INDEX(Series!$D$2:$D$30,MATCH(C160,Series!$B$2:$B$30,0))&amp;"/"&amp;INDEX(Part_Categories!$C$2:$C$18,MATCH(D160,Part_Categories!$B$2:$B$18,0)),"CHECK")</f>
        <v>/sabroe/hpo-hpc/gudgeon-pin-and-bush</v>
      </c>
      <c r="Q160" s="19"/>
    </row>
    <row r="161" customFormat="false" ht="23.85" hidden="false" customHeight="false" outlineLevel="0" collapsed="false">
      <c r="A161" s="16" t="n">
        <f aca="false">ROW()-1</f>
        <v>160</v>
      </c>
      <c r="B161" s="17" t="s">
        <v>76</v>
      </c>
      <c r="C161" s="17" t="s">
        <v>115</v>
      </c>
      <c r="D161" s="17" t="s">
        <v>96</v>
      </c>
      <c r="E161" s="16" t="str">
        <f aca="false">IFERROR(INDEX(Lists!$B$2:$B$7,MATCH(B161,Lists!$A$2:$A$7,0))&amp;"-"&amp;INDEX(Series!$C$2:$C$30,MATCH(C161,Series!$B$2:$B$30,0))&amp;"-"&amp;INDEX(Part_Categories!$A$2:$A$18,MATCH(D161,Part_Categories!$B$2:$B$18,0))&amp;"-01","CHECK")</f>
        <v>SAB-HPO-BRG-01</v>
      </c>
      <c r="F161" s="16" t="str">
        <f aca="false">E161&amp;".jpg"</f>
        <v>SAB-HPO-BRG-01.jpg</v>
      </c>
      <c r="G161" s="18" t="str">
        <f aca="false">IFERROR(INDEX(Series!$F$2:$F$30,MATCH(C161,Series!$B$2:$B$30,0)),"")</f>
        <v>HPO 24, HPO / HPC (other sizes to add)</v>
      </c>
      <c r="H161" s="19"/>
      <c r="I161" s="19"/>
      <c r="J161" s="19"/>
      <c r="K161" s="19" t="s">
        <v>70</v>
      </c>
      <c r="L161" s="19"/>
      <c r="M161" s="19"/>
      <c r="N161" s="19"/>
      <c r="O161" s="18" t="str">
        <f aca="false">C161&amp;" "&amp;D161&amp;" spare part - Efforts Engineers"</f>
        <v>Sabroe HPO and HPC Series Main Bearing and Bush spare part - Efforts Engineers</v>
      </c>
      <c r="P161" s="16" t="str">
        <f aca="false">IFERROR("/"&amp;LOWER(B161)&amp;"/"&amp;INDEX(Series!$D$2:$D$30,MATCH(C161,Series!$B$2:$B$30,0))&amp;"/"&amp;INDEX(Part_Categories!$C$2:$C$18,MATCH(D161,Part_Categories!$B$2:$B$18,0)),"CHECK")</f>
        <v>/sabroe/hpo-hpc/main-bearing-and-bush</v>
      </c>
      <c r="Q161" s="19"/>
    </row>
    <row r="162" customFormat="false" ht="23.85" hidden="false" customHeight="false" outlineLevel="0" collapsed="false">
      <c r="A162" s="16" t="n">
        <f aca="false">ROW()-1</f>
        <v>161</v>
      </c>
      <c r="B162" s="17" t="s">
        <v>76</v>
      </c>
      <c r="C162" s="17" t="s">
        <v>115</v>
      </c>
      <c r="D162" s="17" t="s">
        <v>97</v>
      </c>
      <c r="E162" s="16" t="str">
        <f aca="false">IFERROR(INDEX(Lists!$B$2:$B$7,MATCH(B162,Lists!$A$2:$A$7,0))&amp;"-"&amp;INDEX(Series!$C$2:$C$30,MATCH(C162,Series!$B$2:$B$30,0))&amp;"-"&amp;INDEX(Part_Categories!$A$2:$A$18,MATCH(D162,Part_Categories!$B$2:$B$18,0))&amp;"-01","CHECK")</f>
        <v>SAB-HPO-SVP-01</v>
      </c>
      <c r="F162" s="16" t="str">
        <f aca="false">E162&amp;".jpg"</f>
        <v>SAB-HPO-SVP-01.jpg</v>
      </c>
      <c r="G162" s="18" t="str">
        <f aca="false">IFERROR(INDEX(Series!$F$2:$F$30,MATCH(C162,Series!$B$2:$B$30,0)),"")</f>
        <v>HPO 24, HPO / HPC (other sizes to add)</v>
      </c>
      <c r="H162" s="19"/>
      <c r="I162" s="19"/>
      <c r="J162" s="19"/>
      <c r="K162" s="19" t="s">
        <v>70</v>
      </c>
      <c r="L162" s="19"/>
      <c r="M162" s="19"/>
      <c r="N162" s="19"/>
      <c r="O162" s="18" t="str">
        <f aca="false">C162&amp;" "&amp;D162&amp;" spare part - Efforts Engineers"</f>
        <v>Sabroe HPO and HPC Series Suction Valve Plate spare part - Efforts Engineers</v>
      </c>
      <c r="P162" s="16" t="str">
        <f aca="false">IFERROR("/"&amp;LOWER(B162)&amp;"/"&amp;INDEX(Series!$D$2:$D$30,MATCH(C162,Series!$B$2:$B$30,0))&amp;"/"&amp;INDEX(Part_Categories!$C$2:$C$18,MATCH(D162,Part_Categories!$B$2:$B$18,0)),"CHECK")</f>
        <v>/sabroe/hpo-hpc/suction-valve-plate</v>
      </c>
      <c r="Q162" s="19"/>
    </row>
    <row r="163" customFormat="false" ht="23.85" hidden="false" customHeight="false" outlineLevel="0" collapsed="false">
      <c r="A163" s="16" t="n">
        <f aca="false">ROW()-1</f>
        <v>162</v>
      </c>
      <c r="B163" s="17" t="s">
        <v>76</v>
      </c>
      <c r="C163" s="17" t="s">
        <v>115</v>
      </c>
      <c r="D163" s="17" t="s">
        <v>98</v>
      </c>
      <c r="E163" s="16" t="str">
        <f aca="false">IFERROR(INDEX(Lists!$B$2:$B$7,MATCH(B163,Lists!$A$2:$A$7,0))&amp;"-"&amp;INDEX(Series!$C$2:$C$30,MATCH(C163,Series!$B$2:$B$30,0))&amp;"-"&amp;INDEX(Part_Categories!$A$2:$A$18,MATCH(D163,Part_Categories!$B$2:$B$18,0))&amp;"-01","CHECK")</f>
        <v>SAB-HPO-DVA-01</v>
      </c>
      <c r="F163" s="16" t="str">
        <f aca="false">E163&amp;".jpg"</f>
        <v>SAB-HPO-DVA-01.jpg</v>
      </c>
      <c r="G163" s="18" t="str">
        <f aca="false">IFERROR(INDEX(Series!$F$2:$F$30,MATCH(C163,Series!$B$2:$B$30,0)),"")</f>
        <v>HPO 24, HPO / HPC (other sizes to add)</v>
      </c>
      <c r="H163" s="19"/>
      <c r="I163" s="19"/>
      <c r="J163" s="19"/>
      <c r="K163" s="19" t="s">
        <v>70</v>
      </c>
      <c r="L163" s="19"/>
      <c r="M163" s="19"/>
      <c r="N163" s="19"/>
      <c r="O163" s="18" t="str">
        <f aca="false">C163&amp;" "&amp;D163&amp;" spare part - Efforts Engineers"</f>
        <v>Sabroe HPO and HPC Series Discharge Valve Assembly spare part - Efforts Engineers</v>
      </c>
      <c r="P163" s="16" t="str">
        <f aca="false">IFERROR("/"&amp;LOWER(B163)&amp;"/"&amp;INDEX(Series!$D$2:$D$30,MATCH(C163,Series!$B$2:$B$30,0))&amp;"/"&amp;INDEX(Part_Categories!$C$2:$C$18,MATCH(D163,Part_Categories!$B$2:$B$18,0)),"CHECK")</f>
        <v>/sabroe/hpo-hpc/discharge-valve-assembly</v>
      </c>
      <c r="Q163" s="19"/>
    </row>
    <row r="164" customFormat="false" ht="23.85" hidden="false" customHeight="false" outlineLevel="0" collapsed="false">
      <c r="A164" s="16" t="n">
        <f aca="false">ROW()-1</f>
        <v>163</v>
      </c>
      <c r="B164" s="17" t="s">
        <v>76</v>
      </c>
      <c r="C164" s="17" t="s">
        <v>115</v>
      </c>
      <c r="D164" s="17" t="s">
        <v>99</v>
      </c>
      <c r="E164" s="16" t="str">
        <f aca="false">IFERROR(INDEX(Lists!$B$2:$B$7,MATCH(B164,Lists!$A$2:$A$7,0))&amp;"-"&amp;INDEX(Series!$C$2:$C$30,MATCH(C164,Series!$B$2:$B$30,0))&amp;"-"&amp;INDEX(Part_Categories!$A$2:$A$18,MATCH(D164,Part_Categories!$B$2:$B$18,0))&amp;"-01","CHECK")</f>
        <v>SAB-HPO-VSP-01</v>
      </c>
      <c r="F164" s="16" t="str">
        <f aca="false">E164&amp;".jpg"</f>
        <v>SAB-HPO-VSP-01.jpg</v>
      </c>
      <c r="G164" s="18" t="str">
        <f aca="false">IFERROR(INDEX(Series!$F$2:$F$30,MATCH(C164,Series!$B$2:$B$30,0)),"")</f>
        <v>HPO 24, HPO / HPC (other sizes to add)</v>
      </c>
      <c r="H164" s="19"/>
      <c r="I164" s="19"/>
      <c r="J164" s="19"/>
      <c r="K164" s="19" t="s">
        <v>70</v>
      </c>
      <c r="L164" s="19"/>
      <c r="M164" s="19"/>
      <c r="N164" s="19"/>
      <c r="O164" s="18" t="str">
        <f aca="false">C164&amp;" "&amp;D164&amp;" spare part - Efforts Engineers"</f>
        <v>Sabroe HPO and HPC Series Valve Spring and Cage spare part - Efforts Engineers</v>
      </c>
      <c r="P164" s="16" t="str">
        <f aca="false">IFERROR("/"&amp;LOWER(B164)&amp;"/"&amp;INDEX(Series!$D$2:$D$30,MATCH(C164,Series!$B$2:$B$30,0))&amp;"/"&amp;INDEX(Part_Categories!$C$2:$C$18,MATCH(D164,Part_Categories!$B$2:$B$18,0)),"CHECK")</f>
        <v>/sabroe/hpo-hpc/valve-spring-and-cage</v>
      </c>
      <c r="Q164" s="19"/>
    </row>
    <row r="165" customFormat="false" ht="23.85" hidden="false" customHeight="false" outlineLevel="0" collapsed="false">
      <c r="A165" s="16" t="n">
        <f aca="false">ROW()-1</f>
        <v>164</v>
      </c>
      <c r="B165" s="17" t="s">
        <v>76</v>
      </c>
      <c r="C165" s="17" t="s">
        <v>115</v>
      </c>
      <c r="D165" s="17" t="s">
        <v>100</v>
      </c>
      <c r="E165" s="16" t="str">
        <f aca="false">IFERROR(INDEX(Lists!$B$2:$B$7,MATCH(B165,Lists!$A$2:$A$7,0))&amp;"-"&amp;INDEX(Series!$C$2:$C$30,MATCH(C165,Series!$B$2:$B$30,0))&amp;"-"&amp;INDEX(Part_Categories!$A$2:$A$18,MATCH(D165,Part_Categories!$B$2:$B$18,0))&amp;"-01","CHECK")</f>
        <v>SAB-HPO-HDC-01</v>
      </c>
      <c r="F165" s="16" t="str">
        <f aca="false">E165&amp;".jpg"</f>
        <v>SAB-HPO-HDC-01.jpg</v>
      </c>
      <c r="G165" s="18" t="str">
        <f aca="false">IFERROR(INDEX(Series!$F$2:$F$30,MATCH(C165,Series!$B$2:$B$30,0)),"")</f>
        <v>HPO 24, HPO / HPC (other sizes to add)</v>
      </c>
      <c r="H165" s="19"/>
      <c r="I165" s="19"/>
      <c r="J165" s="19"/>
      <c r="K165" s="19" t="s">
        <v>70</v>
      </c>
      <c r="L165" s="19"/>
      <c r="M165" s="19"/>
      <c r="N165" s="19"/>
      <c r="O165" s="18" t="str">
        <f aca="false">C165&amp;" "&amp;D165&amp;" spare part - Efforts Engineers"</f>
        <v>Sabroe HPO and HPC Series Cylinder Head Cover spare part - Efforts Engineers</v>
      </c>
      <c r="P165" s="16" t="str">
        <f aca="false">IFERROR("/"&amp;LOWER(B165)&amp;"/"&amp;INDEX(Series!$D$2:$D$30,MATCH(C165,Series!$B$2:$B$30,0))&amp;"/"&amp;INDEX(Part_Categories!$C$2:$C$18,MATCH(D165,Part_Categories!$B$2:$B$18,0)),"CHECK")</f>
        <v>/sabroe/hpo-hpc/cylinder-head-cover</v>
      </c>
      <c r="Q165" s="19"/>
    </row>
    <row r="166" customFormat="false" ht="23.85" hidden="false" customHeight="false" outlineLevel="0" collapsed="false">
      <c r="A166" s="16" t="n">
        <f aca="false">ROW()-1</f>
        <v>165</v>
      </c>
      <c r="B166" s="17" t="s">
        <v>76</v>
      </c>
      <c r="C166" s="17" t="s">
        <v>115</v>
      </c>
      <c r="D166" s="17" t="s">
        <v>101</v>
      </c>
      <c r="E166" s="16" t="str">
        <f aca="false">IFERROR(INDEX(Lists!$B$2:$B$7,MATCH(B166,Lists!$A$2:$A$7,0))&amp;"-"&amp;INDEX(Series!$C$2:$C$30,MATCH(C166,Series!$B$2:$B$30,0))&amp;"-"&amp;INDEX(Part_Categories!$A$2:$A$18,MATCH(D166,Part_Categories!$B$2:$B$18,0))&amp;"-01","CHECK")</f>
        <v>SAB-HPO-GSK-01</v>
      </c>
      <c r="F166" s="16" t="str">
        <f aca="false">E166&amp;".jpg"</f>
        <v>SAB-HPO-GSK-01.jpg</v>
      </c>
      <c r="G166" s="18" t="str">
        <f aca="false">IFERROR(INDEX(Series!$F$2:$F$30,MATCH(C166,Series!$B$2:$B$30,0)),"")</f>
        <v>HPO 24, HPO / HPC (other sizes to add)</v>
      </c>
      <c r="H166" s="19"/>
      <c r="I166" s="19"/>
      <c r="J166" s="19"/>
      <c r="K166" s="19" t="s">
        <v>70</v>
      </c>
      <c r="L166" s="19"/>
      <c r="M166" s="19"/>
      <c r="N166" s="19"/>
      <c r="O166" s="18" t="str">
        <f aca="false">C166&amp;" "&amp;D166&amp;" spare part - Efforts Engineers"</f>
        <v>Sabroe HPO and HPC Series Gasket and Overhaul Kit spare part - Efforts Engineers</v>
      </c>
      <c r="P166" s="16" t="str">
        <f aca="false">IFERROR("/"&amp;LOWER(B166)&amp;"/"&amp;INDEX(Series!$D$2:$D$30,MATCH(C166,Series!$B$2:$B$30,0))&amp;"/"&amp;INDEX(Part_Categories!$C$2:$C$18,MATCH(D166,Part_Categories!$B$2:$B$18,0)),"CHECK")</f>
        <v>/sabroe/hpo-hpc/gasket-and-overhaul-kit</v>
      </c>
      <c r="Q166" s="19"/>
    </row>
    <row r="167" customFormat="false" ht="23.85" hidden="false" customHeight="false" outlineLevel="0" collapsed="false">
      <c r="A167" s="16" t="n">
        <f aca="false">ROW()-1</f>
        <v>166</v>
      </c>
      <c r="B167" s="17" t="s">
        <v>76</v>
      </c>
      <c r="C167" s="17" t="s">
        <v>115</v>
      </c>
      <c r="D167" s="17" t="s">
        <v>102</v>
      </c>
      <c r="E167" s="16" t="str">
        <f aca="false">IFERROR(INDEX(Lists!$B$2:$B$7,MATCH(B167,Lists!$A$2:$A$7,0))&amp;"-"&amp;INDEX(Series!$C$2:$C$30,MATCH(C167,Series!$B$2:$B$30,0))&amp;"-"&amp;INDEX(Part_Categories!$A$2:$A$18,MATCH(D167,Part_Categories!$B$2:$B$18,0))&amp;"-01","CHECK")</f>
        <v>SAB-HPO-OPA-01</v>
      </c>
      <c r="F167" s="16" t="str">
        <f aca="false">E167&amp;".jpg"</f>
        <v>SAB-HPO-OPA-01.jpg</v>
      </c>
      <c r="G167" s="18" t="str">
        <f aca="false">IFERROR(INDEX(Series!$F$2:$F$30,MATCH(C167,Series!$B$2:$B$30,0)),"")</f>
        <v>HPO 24, HPO / HPC (other sizes to add)</v>
      </c>
      <c r="H167" s="19"/>
      <c r="I167" s="19"/>
      <c r="J167" s="19"/>
      <c r="K167" s="19" t="s">
        <v>70</v>
      </c>
      <c r="L167" s="19"/>
      <c r="M167" s="19"/>
      <c r="N167" s="19"/>
      <c r="O167" s="18" t="str">
        <f aca="false">C167&amp;" "&amp;D167&amp;" spare part - Efforts Engineers"</f>
        <v>Sabroe HPO and HPC Series Oil Pump Assembly spare part - Efforts Engineers</v>
      </c>
      <c r="P167" s="16" t="str">
        <f aca="false">IFERROR("/"&amp;LOWER(B167)&amp;"/"&amp;INDEX(Series!$D$2:$D$30,MATCH(C167,Series!$B$2:$B$30,0))&amp;"/"&amp;INDEX(Part_Categories!$C$2:$C$18,MATCH(D167,Part_Categories!$B$2:$B$18,0)),"CHECK")</f>
        <v>/sabroe/hpo-hpc/oil-pump-assembly</v>
      </c>
      <c r="Q167" s="19"/>
    </row>
    <row r="168" customFormat="false" ht="23.85" hidden="false" customHeight="false" outlineLevel="0" collapsed="false">
      <c r="A168" s="16" t="n">
        <f aca="false">ROW()-1</f>
        <v>167</v>
      </c>
      <c r="B168" s="17" t="s">
        <v>76</v>
      </c>
      <c r="C168" s="17" t="s">
        <v>115</v>
      </c>
      <c r="D168" s="17" t="s">
        <v>103</v>
      </c>
      <c r="E168" s="16" t="str">
        <f aca="false">IFERROR(INDEX(Lists!$B$2:$B$7,MATCH(B168,Lists!$A$2:$A$7,0))&amp;"-"&amp;INDEX(Series!$C$2:$C$30,MATCH(C168,Series!$B$2:$B$30,0))&amp;"-"&amp;INDEX(Part_Categories!$A$2:$A$18,MATCH(D168,Part_Categories!$B$2:$B$18,0))&amp;"-01","CHECK")</f>
        <v>SAB-HPO-SHS-01</v>
      </c>
      <c r="F168" s="16" t="str">
        <f aca="false">E168&amp;".jpg"</f>
        <v>SAB-HPO-SHS-01.jpg</v>
      </c>
      <c r="G168" s="18" t="str">
        <f aca="false">IFERROR(INDEX(Series!$F$2:$F$30,MATCH(C168,Series!$B$2:$B$30,0)),"")</f>
        <v>HPO 24, HPO / HPC (other sizes to add)</v>
      </c>
      <c r="H168" s="19"/>
      <c r="I168" s="19"/>
      <c r="J168" s="19"/>
      <c r="K168" s="19" t="s">
        <v>70</v>
      </c>
      <c r="L168" s="19"/>
      <c r="M168" s="19"/>
      <c r="N168" s="19"/>
      <c r="O168" s="18" t="str">
        <f aca="false">C168&amp;" "&amp;D168&amp;" spare part - Efforts Engineers"</f>
        <v>Sabroe HPO and HPC Series Shaft Seal spare part - Efforts Engineers</v>
      </c>
      <c r="P168" s="16" t="str">
        <f aca="false">IFERROR("/"&amp;LOWER(B168)&amp;"/"&amp;INDEX(Series!$D$2:$D$30,MATCH(C168,Series!$B$2:$B$30,0))&amp;"/"&amp;INDEX(Part_Categories!$C$2:$C$18,MATCH(D168,Part_Categories!$B$2:$B$18,0)),"CHECK")</f>
        <v>/sabroe/hpo-hpc/shaft-seal</v>
      </c>
      <c r="Q168" s="19"/>
    </row>
    <row r="169" customFormat="false" ht="23.85" hidden="false" customHeight="false" outlineLevel="0" collapsed="false">
      <c r="A169" s="16" t="n">
        <f aca="false">ROW()-1</f>
        <v>168</v>
      </c>
      <c r="B169" s="17" t="s">
        <v>76</v>
      </c>
      <c r="C169" s="17" t="s">
        <v>115</v>
      </c>
      <c r="D169" s="17" t="s">
        <v>104</v>
      </c>
      <c r="E169" s="16" t="str">
        <f aca="false">IFERROR(INDEX(Lists!$B$2:$B$7,MATCH(B169,Lists!$A$2:$A$7,0))&amp;"-"&amp;INDEX(Series!$C$2:$C$30,MATCH(C169,Series!$B$2:$B$30,0))&amp;"-"&amp;INDEX(Part_Categories!$A$2:$A$18,MATCH(D169,Part_Categories!$B$2:$B$18,0))&amp;"-01","CHECK")</f>
        <v>SAB-HPO-FLT-01</v>
      </c>
      <c r="F169" s="16" t="str">
        <f aca="false">E169&amp;".jpg"</f>
        <v>SAB-HPO-FLT-01.jpg</v>
      </c>
      <c r="G169" s="18" t="str">
        <f aca="false">IFERROR(INDEX(Series!$F$2:$F$30,MATCH(C169,Series!$B$2:$B$30,0)),"")</f>
        <v>HPO 24, HPO / HPC (other sizes to add)</v>
      </c>
      <c r="H169" s="19"/>
      <c r="I169" s="19"/>
      <c r="J169" s="19"/>
      <c r="K169" s="19" t="s">
        <v>70</v>
      </c>
      <c r="L169" s="19"/>
      <c r="M169" s="19"/>
      <c r="N169" s="19"/>
      <c r="O169" s="18" t="str">
        <f aca="false">C169&amp;" "&amp;D169&amp;" spare part - Efforts Engineers"</f>
        <v>Sabroe HPO and HPC Series Oil Filter and Strainer spare part - Efforts Engineers</v>
      </c>
      <c r="P169" s="16" t="str">
        <f aca="false">IFERROR("/"&amp;LOWER(B169)&amp;"/"&amp;INDEX(Series!$D$2:$D$30,MATCH(C169,Series!$B$2:$B$30,0))&amp;"/"&amp;INDEX(Part_Categories!$C$2:$C$18,MATCH(D169,Part_Categories!$B$2:$B$18,0)),"CHECK")</f>
        <v>/sabroe/hpo-hpc/oil-filter-and-strainer</v>
      </c>
      <c r="Q169" s="19"/>
    </row>
    <row r="170" customFormat="false" ht="23.85" hidden="false" customHeight="false" outlineLevel="0" collapsed="false">
      <c r="A170" s="16" t="n">
        <f aca="false">ROW()-1</f>
        <v>169</v>
      </c>
      <c r="B170" s="17" t="s">
        <v>76</v>
      </c>
      <c r="C170" s="17" t="s">
        <v>115</v>
      </c>
      <c r="D170" s="17" t="s">
        <v>105</v>
      </c>
      <c r="E170" s="16" t="str">
        <f aca="false">IFERROR(INDEX(Lists!$B$2:$B$7,MATCH(B170,Lists!$A$2:$A$7,0))&amp;"-"&amp;INDEX(Series!$C$2:$C$30,MATCH(C170,Series!$B$2:$B$30,0))&amp;"-"&amp;INDEX(Part_Categories!$A$2:$A$18,MATCH(D170,Part_Categories!$B$2:$B$18,0))&amp;"-01","CHECK")</f>
        <v>SAB-HPO-ULD-01</v>
      </c>
      <c r="F170" s="16" t="str">
        <f aca="false">E170&amp;".jpg"</f>
        <v>SAB-HPO-ULD-01.jpg</v>
      </c>
      <c r="G170" s="18" t="str">
        <f aca="false">IFERROR(INDEX(Series!$F$2:$F$30,MATCH(C170,Series!$B$2:$B$30,0)),"")</f>
        <v>HPO 24, HPO / HPC (other sizes to add)</v>
      </c>
      <c r="H170" s="19"/>
      <c r="I170" s="19"/>
      <c r="J170" s="19"/>
      <c r="K170" s="19" t="s">
        <v>70</v>
      </c>
      <c r="L170" s="19"/>
      <c r="M170" s="19"/>
      <c r="N170" s="19"/>
      <c r="O170" s="18" t="str">
        <f aca="false">C170&amp;" "&amp;D170&amp;" spare part - Efforts Engineers"</f>
        <v>Sabroe HPO and HPC Series Unloader and Capacity Control spare part - Efforts Engineers</v>
      </c>
      <c r="P170" s="16" t="str">
        <f aca="false">IFERROR("/"&amp;LOWER(B170)&amp;"/"&amp;INDEX(Series!$D$2:$D$30,MATCH(C170,Series!$B$2:$B$30,0))&amp;"/"&amp;INDEX(Part_Categories!$C$2:$C$18,MATCH(D170,Part_Categories!$B$2:$B$18,0)),"CHECK")</f>
        <v>/sabroe/hpo-hpc/unloader-and-capacity-control</v>
      </c>
      <c r="Q170" s="19"/>
    </row>
    <row r="171" customFormat="false" ht="23.85" hidden="false" customHeight="false" outlineLevel="0" collapsed="false">
      <c r="A171" s="16" t="n">
        <f aca="false">ROW()-1</f>
        <v>170</v>
      </c>
      <c r="B171" s="17" t="s">
        <v>76</v>
      </c>
      <c r="C171" s="17" t="s">
        <v>115</v>
      </c>
      <c r="D171" s="17" t="s">
        <v>106</v>
      </c>
      <c r="E171" s="16" t="str">
        <f aca="false">IFERROR(INDEX(Lists!$B$2:$B$7,MATCH(B171,Lists!$A$2:$A$7,0))&amp;"-"&amp;INDEX(Series!$C$2:$C$30,MATCH(C171,Series!$B$2:$B$30,0))&amp;"-"&amp;INDEX(Part_Categories!$A$2:$A$18,MATCH(D171,Part_Categories!$B$2:$B$18,0))&amp;"-01","CHECK")</f>
        <v>SAB-HPO-SAF-01</v>
      </c>
      <c r="F171" s="16" t="str">
        <f aca="false">E171&amp;".jpg"</f>
        <v>SAB-HPO-SAF-01.jpg</v>
      </c>
      <c r="G171" s="18" t="str">
        <f aca="false">IFERROR(INDEX(Series!$F$2:$F$30,MATCH(C171,Series!$B$2:$B$30,0)),"")</f>
        <v>HPO 24, HPO / HPC (other sizes to add)</v>
      </c>
      <c r="H171" s="19"/>
      <c r="I171" s="19"/>
      <c r="J171" s="19"/>
      <c r="K171" s="19" t="s">
        <v>70</v>
      </c>
      <c r="L171" s="19"/>
      <c r="M171" s="19"/>
      <c r="N171" s="19"/>
      <c r="O171" s="18" t="str">
        <f aca="false">C171&amp;" "&amp;D171&amp;" spare part - Efforts Engineers"</f>
        <v>Sabroe HPO and HPC Series Safety Head and Relief Valve spare part - Efforts Engineers</v>
      </c>
      <c r="P171" s="16" t="str">
        <f aca="false">IFERROR("/"&amp;LOWER(B171)&amp;"/"&amp;INDEX(Series!$D$2:$D$30,MATCH(C171,Series!$B$2:$B$30,0))&amp;"/"&amp;INDEX(Part_Categories!$C$2:$C$18,MATCH(D171,Part_Categories!$B$2:$B$18,0)),"CHECK")</f>
        <v>/sabroe/hpo-hpc/safety-head-and-relief-valve</v>
      </c>
      <c r="Q171" s="19"/>
    </row>
    <row r="172" customFormat="false" ht="23.85" hidden="false" customHeight="false" outlineLevel="0" collapsed="false">
      <c r="A172" s="16" t="n">
        <f aca="false">ROW()-1</f>
        <v>171</v>
      </c>
      <c r="B172" s="17" t="s">
        <v>56</v>
      </c>
      <c r="C172" s="17" t="s">
        <v>57</v>
      </c>
      <c r="D172" s="17" t="s">
        <v>58</v>
      </c>
      <c r="E172" s="16" t="str">
        <f aca="false">IFERROR(INDEX(Lists!$B$2:$B$7,MATCH(B172,Lists!$A$2:$A$7,0))&amp;"-"&amp;INDEX(Series!$C$2:$C$30,MATCH(C172,Series!$B$2:$B$30,0))&amp;"-"&amp;INDEX(Part_Categories!$A$2:$A$18,MATCH(D172,Part_Categories!$B$2:$B$18,0))&amp;"-01","CHECK")</f>
        <v>KIR-KC-CLN-01</v>
      </c>
      <c r="F172" s="16" t="str">
        <f aca="false">E172&amp;".jpg"</f>
        <v>KIR-KC-CLN-01.jpg</v>
      </c>
      <c r="G172" s="18" t="str">
        <f aca="false">IFERROR(INDEX(Series!$F$2:$F$30,MATCH(C172,Series!$B$2:$B$30,0)),"")</f>
        <v>KC 2, KC 3, KC 4, KC 6, KC 9, KC 12, KC 5</v>
      </c>
      <c r="H172" s="19"/>
      <c r="I172" s="19"/>
      <c r="J172" s="19"/>
      <c r="K172" s="19" t="s">
        <v>70</v>
      </c>
      <c r="L172" s="19"/>
      <c r="M172" s="19"/>
      <c r="N172" s="19"/>
      <c r="O172" s="18" t="str">
        <f aca="false">C172&amp;" "&amp;D172&amp;" spare part - Efforts Engineers"</f>
        <v>Kirloskar KC Series Cylinder Liner spare part - Efforts Engineers</v>
      </c>
      <c r="P172" s="16" t="str">
        <f aca="false">IFERROR("/"&amp;LOWER(B172)&amp;"/"&amp;INDEX(Series!$D$2:$D$30,MATCH(C172,Series!$B$2:$B$30,0))&amp;"/"&amp;INDEX(Part_Categories!$C$2:$C$18,MATCH(D172,Part_Categories!$B$2:$B$18,0)),"CHECK")</f>
        <v>/kirloskar/kc/cylinder-liner</v>
      </c>
      <c r="Q172" s="19"/>
    </row>
    <row r="173" customFormat="false" ht="23.85" hidden="false" customHeight="false" outlineLevel="0" collapsed="false">
      <c r="A173" s="16" t="n">
        <f aca="false">ROW()-1</f>
        <v>172</v>
      </c>
      <c r="B173" s="17" t="s">
        <v>56</v>
      </c>
      <c r="C173" s="17" t="s">
        <v>57</v>
      </c>
      <c r="D173" s="17" t="s">
        <v>91</v>
      </c>
      <c r="E173" s="16" t="str">
        <f aca="false">IFERROR(INDEX(Lists!$B$2:$B$7,MATCH(B173,Lists!$A$2:$A$7,0))&amp;"-"&amp;INDEX(Series!$C$2:$C$30,MATCH(C173,Series!$B$2:$B$30,0))&amp;"-"&amp;INDEX(Part_Categories!$A$2:$A$18,MATCH(D173,Part_Categories!$B$2:$B$18,0))&amp;"-01","CHECK")</f>
        <v>KIR-KC-PST-01</v>
      </c>
      <c r="F173" s="16" t="str">
        <f aca="false">E173&amp;".jpg"</f>
        <v>KIR-KC-PST-01.jpg</v>
      </c>
      <c r="G173" s="18" t="str">
        <f aca="false">IFERROR(INDEX(Series!$F$2:$F$30,MATCH(C173,Series!$B$2:$B$30,0)),"")</f>
        <v>KC 2, KC 3, KC 4, KC 6, KC 9, KC 12, KC 5</v>
      </c>
      <c r="H173" s="19"/>
      <c r="I173" s="19"/>
      <c r="J173" s="19"/>
      <c r="K173" s="19" t="s">
        <v>70</v>
      </c>
      <c r="L173" s="19"/>
      <c r="M173" s="19"/>
      <c r="N173" s="19"/>
      <c r="O173" s="18" t="str">
        <f aca="false">C173&amp;" "&amp;D173&amp;" spare part - Efforts Engineers"</f>
        <v>Kirloskar KC Series Piston Assembly spare part - Efforts Engineers</v>
      </c>
      <c r="P173" s="16" t="str">
        <f aca="false">IFERROR("/"&amp;LOWER(B173)&amp;"/"&amp;INDEX(Series!$D$2:$D$30,MATCH(C173,Series!$B$2:$B$30,0))&amp;"/"&amp;INDEX(Part_Categories!$C$2:$C$18,MATCH(D173,Part_Categories!$B$2:$B$18,0)),"CHECK")</f>
        <v>/kirloskar/kc/piston-assembly</v>
      </c>
      <c r="Q173" s="19"/>
    </row>
    <row r="174" customFormat="false" ht="23.85" hidden="false" customHeight="false" outlineLevel="0" collapsed="false">
      <c r="A174" s="16" t="n">
        <f aca="false">ROW()-1</f>
        <v>173</v>
      </c>
      <c r="B174" s="17" t="s">
        <v>56</v>
      </c>
      <c r="C174" s="17" t="s">
        <v>57</v>
      </c>
      <c r="D174" s="17" t="s">
        <v>92</v>
      </c>
      <c r="E174" s="16" t="str">
        <f aca="false">IFERROR(INDEX(Lists!$B$2:$B$7,MATCH(B174,Lists!$A$2:$A$7,0))&amp;"-"&amp;INDEX(Series!$C$2:$C$30,MATCH(C174,Series!$B$2:$B$30,0))&amp;"-"&amp;INDEX(Part_Categories!$A$2:$A$18,MATCH(D174,Part_Categories!$B$2:$B$18,0))&amp;"-01","CHECK")</f>
        <v>KIR-KC-PRG-01</v>
      </c>
      <c r="F174" s="16" t="str">
        <f aca="false">E174&amp;".jpg"</f>
        <v>KIR-KC-PRG-01.jpg</v>
      </c>
      <c r="G174" s="18" t="str">
        <f aca="false">IFERROR(INDEX(Series!$F$2:$F$30,MATCH(C174,Series!$B$2:$B$30,0)),"")</f>
        <v>KC 2, KC 3, KC 4, KC 6, KC 9, KC 12, KC 5</v>
      </c>
      <c r="H174" s="19"/>
      <c r="I174" s="19"/>
      <c r="J174" s="19"/>
      <c r="K174" s="19" t="s">
        <v>70</v>
      </c>
      <c r="L174" s="19"/>
      <c r="M174" s="19"/>
      <c r="N174" s="19"/>
      <c r="O174" s="18" t="str">
        <f aca="false">C174&amp;" "&amp;D174&amp;" spare part - Efforts Engineers"</f>
        <v>Kirloskar KC Series Piston Ring Set spare part - Efforts Engineers</v>
      </c>
      <c r="P174" s="16" t="str">
        <f aca="false">IFERROR("/"&amp;LOWER(B174)&amp;"/"&amp;INDEX(Series!$D$2:$D$30,MATCH(C174,Series!$B$2:$B$30,0))&amp;"/"&amp;INDEX(Part_Categories!$C$2:$C$18,MATCH(D174,Part_Categories!$B$2:$B$18,0)),"CHECK")</f>
        <v>/kirloskar/kc/piston-ring-set</v>
      </c>
      <c r="Q174" s="19"/>
    </row>
    <row r="175" customFormat="false" ht="23.85" hidden="false" customHeight="false" outlineLevel="0" collapsed="false">
      <c r="A175" s="16" t="n">
        <f aca="false">ROW()-1</f>
        <v>174</v>
      </c>
      <c r="B175" s="17" t="s">
        <v>56</v>
      </c>
      <c r="C175" s="17" t="s">
        <v>57</v>
      </c>
      <c r="D175" s="17" t="s">
        <v>93</v>
      </c>
      <c r="E175" s="16" t="str">
        <f aca="false">IFERROR(INDEX(Lists!$B$2:$B$7,MATCH(B175,Lists!$A$2:$A$7,0))&amp;"-"&amp;INDEX(Series!$C$2:$C$30,MATCH(C175,Series!$B$2:$B$30,0))&amp;"-"&amp;INDEX(Part_Categories!$A$2:$A$18,MATCH(D175,Part_Categories!$B$2:$B$18,0))&amp;"-01","CHECK")</f>
        <v>KIR-KC-CRD-01</v>
      </c>
      <c r="F175" s="16" t="str">
        <f aca="false">E175&amp;".jpg"</f>
        <v>KIR-KC-CRD-01.jpg</v>
      </c>
      <c r="G175" s="18" t="str">
        <f aca="false">IFERROR(INDEX(Series!$F$2:$F$30,MATCH(C175,Series!$B$2:$B$30,0)),"")</f>
        <v>KC 2, KC 3, KC 4, KC 6, KC 9, KC 12, KC 5</v>
      </c>
      <c r="H175" s="19"/>
      <c r="I175" s="19"/>
      <c r="J175" s="19"/>
      <c r="K175" s="19" t="s">
        <v>70</v>
      </c>
      <c r="L175" s="19"/>
      <c r="M175" s="19"/>
      <c r="N175" s="19"/>
      <c r="O175" s="18" t="str">
        <f aca="false">C175&amp;" "&amp;D175&amp;" spare part - Efforts Engineers"</f>
        <v>Kirloskar KC Series Connecting Rod spare part - Efforts Engineers</v>
      </c>
      <c r="P175" s="16" t="str">
        <f aca="false">IFERROR("/"&amp;LOWER(B175)&amp;"/"&amp;INDEX(Series!$D$2:$D$30,MATCH(C175,Series!$B$2:$B$30,0))&amp;"/"&amp;INDEX(Part_Categories!$C$2:$C$18,MATCH(D175,Part_Categories!$B$2:$B$18,0)),"CHECK")</f>
        <v>/kirloskar/kc/connecting-rod</v>
      </c>
      <c r="Q175" s="19"/>
    </row>
    <row r="176" customFormat="false" ht="23.85" hidden="false" customHeight="false" outlineLevel="0" collapsed="false">
      <c r="A176" s="16" t="n">
        <f aca="false">ROW()-1</f>
        <v>175</v>
      </c>
      <c r="B176" s="17" t="s">
        <v>56</v>
      </c>
      <c r="C176" s="17" t="s">
        <v>57</v>
      </c>
      <c r="D176" s="17" t="s">
        <v>94</v>
      </c>
      <c r="E176" s="16" t="str">
        <f aca="false">IFERROR(INDEX(Lists!$B$2:$B$7,MATCH(B176,Lists!$A$2:$A$7,0))&amp;"-"&amp;INDEX(Series!$C$2:$C$30,MATCH(C176,Series!$B$2:$B$30,0))&amp;"-"&amp;INDEX(Part_Categories!$A$2:$A$18,MATCH(D176,Part_Categories!$B$2:$B$18,0))&amp;"-01","CHECK")</f>
        <v>KIR-KC-CRK-01</v>
      </c>
      <c r="F176" s="16" t="str">
        <f aca="false">E176&amp;".jpg"</f>
        <v>KIR-KC-CRK-01.jpg</v>
      </c>
      <c r="G176" s="18" t="str">
        <f aca="false">IFERROR(INDEX(Series!$F$2:$F$30,MATCH(C176,Series!$B$2:$B$30,0)),"")</f>
        <v>KC 2, KC 3, KC 4, KC 6, KC 9, KC 12, KC 5</v>
      </c>
      <c r="H176" s="19"/>
      <c r="I176" s="19"/>
      <c r="J176" s="19"/>
      <c r="K176" s="19" t="s">
        <v>70</v>
      </c>
      <c r="L176" s="19"/>
      <c r="M176" s="19"/>
      <c r="N176" s="19"/>
      <c r="O176" s="18" t="str">
        <f aca="false">C176&amp;" "&amp;D176&amp;" spare part - Efforts Engineers"</f>
        <v>Kirloskar KC Series Crankshaft spare part - Efforts Engineers</v>
      </c>
      <c r="P176" s="16" t="str">
        <f aca="false">IFERROR("/"&amp;LOWER(B176)&amp;"/"&amp;INDEX(Series!$D$2:$D$30,MATCH(C176,Series!$B$2:$B$30,0))&amp;"/"&amp;INDEX(Part_Categories!$C$2:$C$18,MATCH(D176,Part_Categories!$B$2:$B$18,0)),"CHECK")</f>
        <v>/kirloskar/kc/crankshaft</v>
      </c>
      <c r="Q176" s="19"/>
    </row>
    <row r="177" customFormat="false" ht="23.85" hidden="false" customHeight="false" outlineLevel="0" collapsed="false">
      <c r="A177" s="16" t="n">
        <f aca="false">ROW()-1</f>
        <v>176</v>
      </c>
      <c r="B177" s="17" t="s">
        <v>56</v>
      </c>
      <c r="C177" s="17" t="s">
        <v>57</v>
      </c>
      <c r="D177" s="17" t="s">
        <v>95</v>
      </c>
      <c r="E177" s="16" t="str">
        <f aca="false">IFERROR(INDEX(Lists!$B$2:$B$7,MATCH(B177,Lists!$A$2:$A$7,0))&amp;"-"&amp;INDEX(Series!$C$2:$C$30,MATCH(C177,Series!$B$2:$B$30,0))&amp;"-"&amp;INDEX(Part_Categories!$A$2:$A$18,MATCH(D177,Part_Categories!$B$2:$B$18,0))&amp;"-01","CHECK")</f>
        <v>KIR-KC-PIN-01</v>
      </c>
      <c r="F177" s="16" t="str">
        <f aca="false">E177&amp;".jpg"</f>
        <v>KIR-KC-PIN-01.jpg</v>
      </c>
      <c r="G177" s="18" t="str">
        <f aca="false">IFERROR(INDEX(Series!$F$2:$F$30,MATCH(C177,Series!$B$2:$B$30,0)),"")</f>
        <v>KC 2, KC 3, KC 4, KC 6, KC 9, KC 12, KC 5</v>
      </c>
      <c r="H177" s="19"/>
      <c r="I177" s="19"/>
      <c r="J177" s="19"/>
      <c r="K177" s="19" t="s">
        <v>70</v>
      </c>
      <c r="L177" s="19"/>
      <c r="M177" s="19"/>
      <c r="N177" s="19"/>
      <c r="O177" s="18" t="str">
        <f aca="false">C177&amp;" "&amp;D177&amp;" spare part - Efforts Engineers"</f>
        <v>Kirloskar KC Series Gudgeon Pin and Bush spare part - Efforts Engineers</v>
      </c>
      <c r="P177" s="16" t="str">
        <f aca="false">IFERROR("/"&amp;LOWER(B177)&amp;"/"&amp;INDEX(Series!$D$2:$D$30,MATCH(C177,Series!$B$2:$B$30,0))&amp;"/"&amp;INDEX(Part_Categories!$C$2:$C$18,MATCH(D177,Part_Categories!$B$2:$B$18,0)),"CHECK")</f>
        <v>/kirloskar/kc/gudgeon-pin-and-bush</v>
      </c>
      <c r="Q177" s="19"/>
    </row>
    <row r="178" customFormat="false" ht="23.85" hidden="false" customHeight="false" outlineLevel="0" collapsed="false">
      <c r="A178" s="16" t="n">
        <f aca="false">ROW()-1</f>
        <v>177</v>
      </c>
      <c r="B178" s="17" t="s">
        <v>56</v>
      </c>
      <c r="C178" s="17" t="s">
        <v>57</v>
      </c>
      <c r="D178" s="17" t="s">
        <v>96</v>
      </c>
      <c r="E178" s="16" t="str">
        <f aca="false">IFERROR(INDEX(Lists!$B$2:$B$7,MATCH(B178,Lists!$A$2:$A$7,0))&amp;"-"&amp;INDEX(Series!$C$2:$C$30,MATCH(C178,Series!$B$2:$B$30,0))&amp;"-"&amp;INDEX(Part_Categories!$A$2:$A$18,MATCH(D178,Part_Categories!$B$2:$B$18,0))&amp;"-01","CHECK")</f>
        <v>KIR-KC-BRG-01</v>
      </c>
      <c r="F178" s="16" t="str">
        <f aca="false">E178&amp;".jpg"</f>
        <v>KIR-KC-BRG-01.jpg</v>
      </c>
      <c r="G178" s="18" t="str">
        <f aca="false">IFERROR(INDEX(Series!$F$2:$F$30,MATCH(C178,Series!$B$2:$B$30,0)),"")</f>
        <v>KC 2, KC 3, KC 4, KC 6, KC 9, KC 12, KC 5</v>
      </c>
      <c r="H178" s="19"/>
      <c r="I178" s="19"/>
      <c r="J178" s="19"/>
      <c r="K178" s="19" t="s">
        <v>70</v>
      </c>
      <c r="L178" s="19"/>
      <c r="M178" s="19"/>
      <c r="N178" s="19"/>
      <c r="O178" s="18" t="str">
        <f aca="false">C178&amp;" "&amp;D178&amp;" spare part - Efforts Engineers"</f>
        <v>Kirloskar KC Series Main Bearing and Bush spare part - Efforts Engineers</v>
      </c>
      <c r="P178" s="16" t="str">
        <f aca="false">IFERROR("/"&amp;LOWER(B178)&amp;"/"&amp;INDEX(Series!$D$2:$D$30,MATCH(C178,Series!$B$2:$B$30,0))&amp;"/"&amp;INDEX(Part_Categories!$C$2:$C$18,MATCH(D178,Part_Categories!$B$2:$B$18,0)),"CHECK")</f>
        <v>/kirloskar/kc/main-bearing-and-bush</v>
      </c>
      <c r="Q178" s="19"/>
    </row>
    <row r="179" customFormat="false" ht="23.85" hidden="false" customHeight="false" outlineLevel="0" collapsed="false">
      <c r="A179" s="16" t="n">
        <f aca="false">ROW()-1</f>
        <v>178</v>
      </c>
      <c r="B179" s="17" t="s">
        <v>56</v>
      </c>
      <c r="C179" s="17" t="s">
        <v>57</v>
      </c>
      <c r="D179" s="17" t="s">
        <v>97</v>
      </c>
      <c r="E179" s="16" t="str">
        <f aca="false">IFERROR(INDEX(Lists!$B$2:$B$7,MATCH(B179,Lists!$A$2:$A$7,0))&amp;"-"&amp;INDEX(Series!$C$2:$C$30,MATCH(C179,Series!$B$2:$B$30,0))&amp;"-"&amp;INDEX(Part_Categories!$A$2:$A$18,MATCH(D179,Part_Categories!$B$2:$B$18,0))&amp;"-01","CHECK")</f>
        <v>KIR-KC-SVP-01</v>
      </c>
      <c r="F179" s="16" t="str">
        <f aca="false">E179&amp;".jpg"</f>
        <v>KIR-KC-SVP-01.jpg</v>
      </c>
      <c r="G179" s="18" t="str">
        <f aca="false">IFERROR(INDEX(Series!$F$2:$F$30,MATCH(C179,Series!$B$2:$B$30,0)),"")</f>
        <v>KC 2, KC 3, KC 4, KC 6, KC 9, KC 12, KC 5</v>
      </c>
      <c r="H179" s="19"/>
      <c r="I179" s="19"/>
      <c r="J179" s="19"/>
      <c r="K179" s="19" t="s">
        <v>70</v>
      </c>
      <c r="L179" s="19"/>
      <c r="M179" s="19"/>
      <c r="N179" s="19"/>
      <c r="O179" s="18" t="str">
        <f aca="false">C179&amp;" "&amp;D179&amp;" spare part - Efforts Engineers"</f>
        <v>Kirloskar KC Series Suction Valve Plate spare part - Efforts Engineers</v>
      </c>
      <c r="P179" s="16" t="str">
        <f aca="false">IFERROR("/"&amp;LOWER(B179)&amp;"/"&amp;INDEX(Series!$D$2:$D$30,MATCH(C179,Series!$B$2:$B$30,0))&amp;"/"&amp;INDEX(Part_Categories!$C$2:$C$18,MATCH(D179,Part_Categories!$B$2:$B$18,0)),"CHECK")</f>
        <v>/kirloskar/kc/suction-valve-plate</v>
      </c>
      <c r="Q179" s="19"/>
    </row>
    <row r="180" customFormat="false" ht="23.85" hidden="false" customHeight="false" outlineLevel="0" collapsed="false">
      <c r="A180" s="16" t="n">
        <f aca="false">ROW()-1</f>
        <v>179</v>
      </c>
      <c r="B180" s="17" t="s">
        <v>56</v>
      </c>
      <c r="C180" s="17" t="s">
        <v>57</v>
      </c>
      <c r="D180" s="17" t="s">
        <v>98</v>
      </c>
      <c r="E180" s="16" t="str">
        <f aca="false">IFERROR(INDEX(Lists!$B$2:$B$7,MATCH(B180,Lists!$A$2:$A$7,0))&amp;"-"&amp;INDEX(Series!$C$2:$C$30,MATCH(C180,Series!$B$2:$B$30,0))&amp;"-"&amp;INDEX(Part_Categories!$A$2:$A$18,MATCH(D180,Part_Categories!$B$2:$B$18,0))&amp;"-01","CHECK")</f>
        <v>KIR-KC-DVA-01</v>
      </c>
      <c r="F180" s="16" t="str">
        <f aca="false">E180&amp;".jpg"</f>
        <v>KIR-KC-DVA-01.jpg</v>
      </c>
      <c r="G180" s="18" t="str">
        <f aca="false">IFERROR(INDEX(Series!$F$2:$F$30,MATCH(C180,Series!$B$2:$B$30,0)),"")</f>
        <v>KC 2, KC 3, KC 4, KC 6, KC 9, KC 12, KC 5</v>
      </c>
      <c r="H180" s="19"/>
      <c r="I180" s="19"/>
      <c r="J180" s="19"/>
      <c r="K180" s="19" t="s">
        <v>70</v>
      </c>
      <c r="L180" s="19"/>
      <c r="M180" s="19"/>
      <c r="N180" s="19"/>
      <c r="O180" s="18" t="str">
        <f aca="false">C180&amp;" "&amp;D180&amp;" spare part - Efforts Engineers"</f>
        <v>Kirloskar KC Series Discharge Valve Assembly spare part - Efforts Engineers</v>
      </c>
      <c r="P180" s="16" t="str">
        <f aca="false">IFERROR("/"&amp;LOWER(B180)&amp;"/"&amp;INDEX(Series!$D$2:$D$30,MATCH(C180,Series!$B$2:$B$30,0))&amp;"/"&amp;INDEX(Part_Categories!$C$2:$C$18,MATCH(D180,Part_Categories!$B$2:$B$18,0)),"CHECK")</f>
        <v>/kirloskar/kc/discharge-valve-assembly</v>
      </c>
      <c r="Q180" s="19"/>
    </row>
    <row r="181" customFormat="false" ht="23.85" hidden="false" customHeight="false" outlineLevel="0" collapsed="false">
      <c r="A181" s="16" t="n">
        <f aca="false">ROW()-1</f>
        <v>180</v>
      </c>
      <c r="B181" s="17" t="s">
        <v>56</v>
      </c>
      <c r="C181" s="17" t="s">
        <v>57</v>
      </c>
      <c r="D181" s="17" t="s">
        <v>99</v>
      </c>
      <c r="E181" s="16" t="str">
        <f aca="false">IFERROR(INDEX(Lists!$B$2:$B$7,MATCH(B181,Lists!$A$2:$A$7,0))&amp;"-"&amp;INDEX(Series!$C$2:$C$30,MATCH(C181,Series!$B$2:$B$30,0))&amp;"-"&amp;INDEX(Part_Categories!$A$2:$A$18,MATCH(D181,Part_Categories!$B$2:$B$18,0))&amp;"-01","CHECK")</f>
        <v>KIR-KC-VSP-01</v>
      </c>
      <c r="F181" s="16" t="str">
        <f aca="false">E181&amp;".jpg"</f>
        <v>KIR-KC-VSP-01.jpg</v>
      </c>
      <c r="G181" s="18" t="str">
        <f aca="false">IFERROR(INDEX(Series!$F$2:$F$30,MATCH(C181,Series!$B$2:$B$30,0)),"")</f>
        <v>KC 2, KC 3, KC 4, KC 6, KC 9, KC 12, KC 5</v>
      </c>
      <c r="H181" s="19"/>
      <c r="I181" s="19"/>
      <c r="J181" s="19"/>
      <c r="K181" s="19" t="s">
        <v>70</v>
      </c>
      <c r="L181" s="19"/>
      <c r="M181" s="19"/>
      <c r="N181" s="19"/>
      <c r="O181" s="18" t="str">
        <f aca="false">C181&amp;" "&amp;D181&amp;" spare part - Efforts Engineers"</f>
        <v>Kirloskar KC Series Valve Spring and Cage spare part - Efforts Engineers</v>
      </c>
      <c r="P181" s="16" t="str">
        <f aca="false">IFERROR("/"&amp;LOWER(B181)&amp;"/"&amp;INDEX(Series!$D$2:$D$30,MATCH(C181,Series!$B$2:$B$30,0))&amp;"/"&amp;INDEX(Part_Categories!$C$2:$C$18,MATCH(D181,Part_Categories!$B$2:$B$18,0)),"CHECK")</f>
        <v>/kirloskar/kc/valve-spring-and-cage</v>
      </c>
      <c r="Q181" s="19"/>
    </row>
    <row r="182" customFormat="false" ht="23.85" hidden="false" customHeight="false" outlineLevel="0" collapsed="false">
      <c r="A182" s="16" t="n">
        <f aca="false">ROW()-1</f>
        <v>181</v>
      </c>
      <c r="B182" s="17" t="s">
        <v>56</v>
      </c>
      <c r="C182" s="17" t="s">
        <v>57</v>
      </c>
      <c r="D182" s="17" t="s">
        <v>100</v>
      </c>
      <c r="E182" s="16" t="str">
        <f aca="false">IFERROR(INDEX(Lists!$B$2:$B$7,MATCH(B182,Lists!$A$2:$A$7,0))&amp;"-"&amp;INDEX(Series!$C$2:$C$30,MATCH(C182,Series!$B$2:$B$30,0))&amp;"-"&amp;INDEX(Part_Categories!$A$2:$A$18,MATCH(D182,Part_Categories!$B$2:$B$18,0))&amp;"-01","CHECK")</f>
        <v>KIR-KC-HDC-01</v>
      </c>
      <c r="F182" s="16" t="str">
        <f aca="false">E182&amp;".jpg"</f>
        <v>KIR-KC-HDC-01.jpg</v>
      </c>
      <c r="G182" s="18" t="str">
        <f aca="false">IFERROR(INDEX(Series!$F$2:$F$30,MATCH(C182,Series!$B$2:$B$30,0)),"")</f>
        <v>KC 2, KC 3, KC 4, KC 6, KC 9, KC 12, KC 5</v>
      </c>
      <c r="H182" s="19"/>
      <c r="I182" s="19"/>
      <c r="J182" s="19"/>
      <c r="K182" s="19" t="s">
        <v>70</v>
      </c>
      <c r="L182" s="19"/>
      <c r="M182" s="19"/>
      <c r="N182" s="19"/>
      <c r="O182" s="18" t="str">
        <f aca="false">C182&amp;" "&amp;D182&amp;" spare part - Efforts Engineers"</f>
        <v>Kirloskar KC Series Cylinder Head Cover spare part - Efforts Engineers</v>
      </c>
      <c r="P182" s="16" t="str">
        <f aca="false">IFERROR("/"&amp;LOWER(B182)&amp;"/"&amp;INDEX(Series!$D$2:$D$30,MATCH(C182,Series!$B$2:$B$30,0))&amp;"/"&amp;INDEX(Part_Categories!$C$2:$C$18,MATCH(D182,Part_Categories!$B$2:$B$18,0)),"CHECK")</f>
        <v>/kirloskar/kc/cylinder-head-cover</v>
      </c>
      <c r="Q182" s="19"/>
    </row>
    <row r="183" customFormat="false" ht="23.85" hidden="false" customHeight="false" outlineLevel="0" collapsed="false">
      <c r="A183" s="16" t="n">
        <f aca="false">ROW()-1</f>
        <v>182</v>
      </c>
      <c r="B183" s="17" t="s">
        <v>56</v>
      </c>
      <c r="C183" s="17" t="s">
        <v>57</v>
      </c>
      <c r="D183" s="17" t="s">
        <v>101</v>
      </c>
      <c r="E183" s="16" t="str">
        <f aca="false">IFERROR(INDEX(Lists!$B$2:$B$7,MATCH(B183,Lists!$A$2:$A$7,0))&amp;"-"&amp;INDEX(Series!$C$2:$C$30,MATCH(C183,Series!$B$2:$B$30,0))&amp;"-"&amp;INDEX(Part_Categories!$A$2:$A$18,MATCH(D183,Part_Categories!$B$2:$B$18,0))&amp;"-01","CHECK")</f>
        <v>KIR-KC-GSK-01</v>
      </c>
      <c r="F183" s="16" t="str">
        <f aca="false">E183&amp;".jpg"</f>
        <v>KIR-KC-GSK-01.jpg</v>
      </c>
      <c r="G183" s="18" t="str">
        <f aca="false">IFERROR(INDEX(Series!$F$2:$F$30,MATCH(C183,Series!$B$2:$B$30,0)),"")</f>
        <v>KC 2, KC 3, KC 4, KC 6, KC 9, KC 12, KC 5</v>
      </c>
      <c r="H183" s="19"/>
      <c r="I183" s="19"/>
      <c r="J183" s="19"/>
      <c r="K183" s="19" t="s">
        <v>70</v>
      </c>
      <c r="L183" s="19"/>
      <c r="M183" s="19"/>
      <c r="N183" s="19"/>
      <c r="O183" s="18" t="str">
        <f aca="false">C183&amp;" "&amp;D183&amp;" spare part - Efforts Engineers"</f>
        <v>Kirloskar KC Series Gasket and Overhaul Kit spare part - Efforts Engineers</v>
      </c>
      <c r="P183" s="16" t="str">
        <f aca="false">IFERROR("/"&amp;LOWER(B183)&amp;"/"&amp;INDEX(Series!$D$2:$D$30,MATCH(C183,Series!$B$2:$B$30,0))&amp;"/"&amp;INDEX(Part_Categories!$C$2:$C$18,MATCH(D183,Part_Categories!$B$2:$B$18,0)),"CHECK")</f>
        <v>/kirloskar/kc/gasket-and-overhaul-kit</v>
      </c>
      <c r="Q183" s="19"/>
    </row>
    <row r="184" customFormat="false" ht="23.85" hidden="false" customHeight="false" outlineLevel="0" collapsed="false">
      <c r="A184" s="16" t="n">
        <f aca="false">ROW()-1</f>
        <v>183</v>
      </c>
      <c r="B184" s="17" t="s">
        <v>56</v>
      </c>
      <c r="C184" s="17" t="s">
        <v>57</v>
      </c>
      <c r="D184" s="17" t="s">
        <v>102</v>
      </c>
      <c r="E184" s="16" t="str">
        <f aca="false">IFERROR(INDEX(Lists!$B$2:$B$7,MATCH(B184,Lists!$A$2:$A$7,0))&amp;"-"&amp;INDEX(Series!$C$2:$C$30,MATCH(C184,Series!$B$2:$B$30,0))&amp;"-"&amp;INDEX(Part_Categories!$A$2:$A$18,MATCH(D184,Part_Categories!$B$2:$B$18,0))&amp;"-01","CHECK")</f>
        <v>KIR-KC-OPA-01</v>
      </c>
      <c r="F184" s="16" t="str">
        <f aca="false">E184&amp;".jpg"</f>
        <v>KIR-KC-OPA-01.jpg</v>
      </c>
      <c r="G184" s="18" t="str">
        <f aca="false">IFERROR(INDEX(Series!$F$2:$F$30,MATCH(C184,Series!$B$2:$B$30,0)),"")</f>
        <v>KC 2, KC 3, KC 4, KC 6, KC 9, KC 12, KC 5</v>
      </c>
      <c r="H184" s="19"/>
      <c r="I184" s="19"/>
      <c r="J184" s="19"/>
      <c r="K184" s="19" t="s">
        <v>70</v>
      </c>
      <c r="L184" s="19"/>
      <c r="M184" s="19"/>
      <c r="N184" s="19"/>
      <c r="O184" s="18" t="str">
        <f aca="false">C184&amp;" "&amp;D184&amp;" spare part - Efforts Engineers"</f>
        <v>Kirloskar KC Series Oil Pump Assembly spare part - Efforts Engineers</v>
      </c>
      <c r="P184" s="16" t="str">
        <f aca="false">IFERROR("/"&amp;LOWER(B184)&amp;"/"&amp;INDEX(Series!$D$2:$D$30,MATCH(C184,Series!$B$2:$B$30,0))&amp;"/"&amp;INDEX(Part_Categories!$C$2:$C$18,MATCH(D184,Part_Categories!$B$2:$B$18,0)),"CHECK")</f>
        <v>/kirloskar/kc/oil-pump-assembly</v>
      </c>
      <c r="Q184" s="19"/>
    </row>
    <row r="185" customFormat="false" ht="23.85" hidden="false" customHeight="false" outlineLevel="0" collapsed="false">
      <c r="A185" s="16" t="n">
        <f aca="false">ROW()-1</f>
        <v>184</v>
      </c>
      <c r="B185" s="17" t="s">
        <v>56</v>
      </c>
      <c r="C185" s="17" t="s">
        <v>57</v>
      </c>
      <c r="D185" s="17" t="s">
        <v>103</v>
      </c>
      <c r="E185" s="16" t="str">
        <f aca="false">IFERROR(INDEX(Lists!$B$2:$B$7,MATCH(B185,Lists!$A$2:$A$7,0))&amp;"-"&amp;INDEX(Series!$C$2:$C$30,MATCH(C185,Series!$B$2:$B$30,0))&amp;"-"&amp;INDEX(Part_Categories!$A$2:$A$18,MATCH(D185,Part_Categories!$B$2:$B$18,0))&amp;"-01","CHECK")</f>
        <v>KIR-KC-SHS-01</v>
      </c>
      <c r="F185" s="16" t="str">
        <f aca="false">E185&amp;".jpg"</f>
        <v>KIR-KC-SHS-01.jpg</v>
      </c>
      <c r="G185" s="18" t="str">
        <f aca="false">IFERROR(INDEX(Series!$F$2:$F$30,MATCH(C185,Series!$B$2:$B$30,0)),"")</f>
        <v>KC 2, KC 3, KC 4, KC 6, KC 9, KC 12, KC 5</v>
      </c>
      <c r="H185" s="19"/>
      <c r="I185" s="19"/>
      <c r="J185" s="19"/>
      <c r="K185" s="19" t="s">
        <v>70</v>
      </c>
      <c r="L185" s="19"/>
      <c r="M185" s="19"/>
      <c r="N185" s="19"/>
      <c r="O185" s="18" t="str">
        <f aca="false">C185&amp;" "&amp;D185&amp;" spare part - Efforts Engineers"</f>
        <v>Kirloskar KC Series Shaft Seal spare part - Efforts Engineers</v>
      </c>
      <c r="P185" s="16" t="str">
        <f aca="false">IFERROR("/"&amp;LOWER(B185)&amp;"/"&amp;INDEX(Series!$D$2:$D$30,MATCH(C185,Series!$B$2:$B$30,0))&amp;"/"&amp;INDEX(Part_Categories!$C$2:$C$18,MATCH(D185,Part_Categories!$B$2:$B$18,0)),"CHECK")</f>
        <v>/kirloskar/kc/shaft-seal</v>
      </c>
      <c r="Q185" s="19"/>
    </row>
    <row r="186" customFormat="false" ht="23.85" hidden="false" customHeight="false" outlineLevel="0" collapsed="false">
      <c r="A186" s="16" t="n">
        <f aca="false">ROW()-1</f>
        <v>185</v>
      </c>
      <c r="B186" s="17" t="s">
        <v>56</v>
      </c>
      <c r="C186" s="17" t="s">
        <v>57</v>
      </c>
      <c r="D186" s="17" t="s">
        <v>104</v>
      </c>
      <c r="E186" s="16" t="str">
        <f aca="false">IFERROR(INDEX(Lists!$B$2:$B$7,MATCH(B186,Lists!$A$2:$A$7,0))&amp;"-"&amp;INDEX(Series!$C$2:$C$30,MATCH(C186,Series!$B$2:$B$30,0))&amp;"-"&amp;INDEX(Part_Categories!$A$2:$A$18,MATCH(D186,Part_Categories!$B$2:$B$18,0))&amp;"-01","CHECK")</f>
        <v>KIR-KC-FLT-01</v>
      </c>
      <c r="F186" s="16" t="str">
        <f aca="false">E186&amp;".jpg"</f>
        <v>KIR-KC-FLT-01.jpg</v>
      </c>
      <c r="G186" s="18" t="str">
        <f aca="false">IFERROR(INDEX(Series!$F$2:$F$30,MATCH(C186,Series!$B$2:$B$30,0)),"")</f>
        <v>KC 2, KC 3, KC 4, KC 6, KC 9, KC 12, KC 5</v>
      </c>
      <c r="H186" s="19"/>
      <c r="I186" s="19"/>
      <c r="J186" s="19"/>
      <c r="K186" s="19" t="s">
        <v>70</v>
      </c>
      <c r="L186" s="19"/>
      <c r="M186" s="19"/>
      <c r="N186" s="19"/>
      <c r="O186" s="18" t="str">
        <f aca="false">C186&amp;" "&amp;D186&amp;" spare part - Efforts Engineers"</f>
        <v>Kirloskar KC Series Oil Filter and Strainer spare part - Efforts Engineers</v>
      </c>
      <c r="P186" s="16" t="str">
        <f aca="false">IFERROR("/"&amp;LOWER(B186)&amp;"/"&amp;INDEX(Series!$D$2:$D$30,MATCH(C186,Series!$B$2:$B$30,0))&amp;"/"&amp;INDEX(Part_Categories!$C$2:$C$18,MATCH(D186,Part_Categories!$B$2:$B$18,0)),"CHECK")</f>
        <v>/kirloskar/kc/oil-filter-and-strainer</v>
      </c>
      <c r="Q186" s="19"/>
    </row>
    <row r="187" customFormat="false" ht="23.85" hidden="false" customHeight="false" outlineLevel="0" collapsed="false">
      <c r="A187" s="16" t="n">
        <f aca="false">ROW()-1</f>
        <v>186</v>
      </c>
      <c r="B187" s="17" t="s">
        <v>56</v>
      </c>
      <c r="C187" s="17" t="s">
        <v>57</v>
      </c>
      <c r="D187" s="17" t="s">
        <v>105</v>
      </c>
      <c r="E187" s="16" t="str">
        <f aca="false">IFERROR(INDEX(Lists!$B$2:$B$7,MATCH(B187,Lists!$A$2:$A$7,0))&amp;"-"&amp;INDEX(Series!$C$2:$C$30,MATCH(C187,Series!$B$2:$B$30,0))&amp;"-"&amp;INDEX(Part_Categories!$A$2:$A$18,MATCH(D187,Part_Categories!$B$2:$B$18,0))&amp;"-01","CHECK")</f>
        <v>KIR-KC-ULD-01</v>
      </c>
      <c r="F187" s="16" t="str">
        <f aca="false">E187&amp;".jpg"</f>
        <v>KIR-KC-ULD-01.jpg</v>
      </c>
      <c r="G187" s="18" t="str">
        <f aca="false">IFERROR(INDEX(Series!$F$2:$F$30,MATCH(C187,Series!$B$2:$B$30,0)),"")</f>
        <v>KC 2, KC 3, KC 4, KC 6, KC 9, KC 12, KC 5</v>
      </c>
      <c r="H187" s="19"/>
      <c r="I187" s="19"/>
      <c r="J187" s="19"/>
      <c r="K187" s="19" t="s">
        <v>70</v>
      </c>
      <c r="L187" s="19"/>
      <c r="M187" s="19"/>
      <c r="N187" s="19"/>
      <c r="O187" s="18" t="str">
        <f aca="false">C187&amp;" "&amp;D187&amp;" spare part - Efforts Engineers"</f>
        <v>Kirloskar KC Series Unloader and Capacity Control spare part - Efforts Engineers</v>
      </c>
      <c r="P187" s="16" t="str">
        <f aca="false">IFERROR("/"&amp;LOWER(B187)&amp;"/"&amp;INDEX(Series!$D$2:$D$30,MATCH(C187,Series!$B$2:$B$30,0))&amp;"/"&amp;INDEX(Part_Categories!$C$2:$C$18,MATCH(D187,Part_Categories!$B$2:$B$18,0)),"CHECK")</f>
        <v>/kirloskar/kc/unloader-and-capacity-control</v>
      </c>
      <c r="Q187" s="19"/>
    </row>
    <row r="188" customFormat="false" ht="23.85" hidden="false" customHeight="false" outlineLevel="0" collapsed="false">
      <c r="A188" s="16" t="n">
        <f aca="false">ROW()-1</f>
        <v>187</v>
      </c>
      <c r="B188" s="17" t="s">
        <v>56</v>
      </c>
      <c r="C188" s="17" t="s">
        <v>57</v>
      </c>
      <c r="D188" s="17" t="s">
        <v>106</v>
      </c>
      <c r="E188" s="16" t="str">
        <f aca="false">IFERROR(INDEX(Lists!$B$2:$B$7,MATCH(B188,Lists!$A$2:$A$7,0))&amp;"-"&amp;INDEX(Series!$C$2:$C$30,MATCH(C188,Series!$B$2:$B$30,0))&amp;"-"&amp;INDEX(Part_Categories!$A$2:$A$18,MATCH(D188,Part_Categories!$B$2:$B$18,0))&amp;"-01","CHECK")</f>
        <v>KIR-KC-SAF-01</v>
      </c>
      <c r="F188" s="16" t="str">
        <f aca="false">E188&amp;".jpg"</f>
        <v>KIR-KC-SAF-01.jpg</v>
      </c>
      <c r="G188" s="18" t="str">
        <f aca="false">IFERROR(INDEX(Series!$F$2:$F$30,MATCH(C188,Series!$B$2:$B$30,0)),"")</f>
        <v>KC 2, KC 3, KC 4, KC 6, KC 9, KC 12, KC 5</v>
      </c>
      <c r="H188" s="19"/>
      <c r="I188" s="19"/>
      <c r="J188" s="19"/>
      <c r="K188" s="19" t="s">
        <v>70</v>
      </c>
      <c r="L188" s="19"/>
      <c r="M188" s="19"/>
      <c r="N188" s="19"/>
      <c r="O188" s="18" t="str">
        <f aca="false">C188&amp;" "&amp;D188&amp;" spare part - Efforts Engineers"</f>
        <v>Kirloskar KC Series Safety Head and Relief Valve spare part - Efforts Engineers</v>
      </c>
      <c r="P188" s="16" t="str">
        <f aca="false">IFERROR("/"&amp;LOWER(B188)&amp;"/"&amp;INDEX(Series!$D$2:$D$30,MATCH(C188,Series!$B$2:$B$30,0))&amp;"/"&amp;INDEX(Part_Categories!$C$2:$C$18,MATCH(D188,Part_Categories!$B$2:$B$18,0)),"CHECK")</f>
        <v>/kirloskar/kc/safety-head-and-relief-valve</v>
      </c>
      <c r="Q188" s="19"/>
    </row>
    <row r="189" customFormat="false" ht="23.85" hidden="false" customHeight="false" outlineLevel="0" collapsed="false">
      <c r="A189" s="16" t="n">
        <f aca="false">ROW()-1</f>
        <v>188</v>
      </c>
      <c r="B189" s="17" t="s">
        <v>56</v>
      </c>
      <c r="C189" s="17" t="s">
        <v>116</v>
      </c>
      <c r="D189" s="17" t="s">
        <v>58</v>
      </c>
      <c r="E189" s="16" t="str">
        <f aca="false">IFERROR(INDEX(Lists!$B$2:$B$7,MATCH(B189,Lists!$A$2:$A$7,0))&amp;"-"&amp;INDEX(Series!$C$2:$C$30,MATCH(C189,Series!$B$2:$B$30,0))&amp;"-"&amp;INDEX(Part_Categories!$A$2:$A$18,MATCH(D189,Part_Categories!$B$2:$B$18,0))&amp;"-01","CHECK")</f>
        <v>KIR-KC2S-CLN-01</v>
      </c>
      <c r="F189" s="16" t="str">
        <f aca="false">E189&amp;".jpg"</f>
        <v>KIR-KC2S-CLN-01.jpg</v>
      </c>
      <c r="G189" s="18" t="str">
        <f aca="false">IFERROR(INDEX(Series!$F$2:$F$30,MATCH(C189,Series!$B$2:$B$30,0)),"")</f>
        <v>KC 21, KC 31, KC 42, KC 51, KC 63, KC 72, KC 84, KC 93, KC 102</v>
      </c>
      <c r="H189" s="19"/>
      <c r="I189" s="19"/>
      <c r="J189" s="19"/>
      <c r="K189" s="19" t="s">
        <v>70</v>
      </c>
      <c r="L189" s="19"/>
      <c r="M189" s="19"/>
      <c r="N189" s="19"/>
      <c r="O189" s="18" t="str">
        <f aca="false">C189&amp;" "&amp;D189&amp;" spare part - Efforts Engineers"</f>
        <v>Kirloskar KC Two-Stage Series Cylinder Liner spare part - Efforts Engineers</v>
      </c>
      <c r="P189" s="16" t="str">
        <f aca="false">IFERROR("/"&amp;LOWER(B189)&amp;"/"&amp;INDEX(Series!$D$2:$D$30,MATCH(C189,Series!$B$2:$B$30,0))&amp;"/"&amp;INDEX(Part_Categories!$C$2:$C$18,MATCH(D189,Part_Categories!$B$2:$B$18,0)),"CHECK")</f>
        <v>/kirloskar/kc-two-stage/cylinder-liner</v>
      </c>
      <c r="Q189" s="19"/>
    </row>
    <row r="190" customFormat="false" ht="23.85" hidden="false" customHeight="false" outlineLevel="0" collapsed="false">
      <c r="A190" s="16" t="n">
        <f aca="false">ROW()-1</f>
        <v>189</v>
      </c>
      <c r="B190" s="17" t="s">
        <v>56</v>
      </c>
      <c r="C190" s="17" t="s">
        <v>116</v>
      </c>
      <c r="D190" s="17" t="s">
        <v>91</v>
      </c>
      <c r="E190" s="16" t="str">
        <f aca="false">IFERROR(INDEX(Lists!$B$2:$B$7,MATCH(B190,Lists!$A$2:$A$7,0))&amp;"-"&amp;INDEX(Series!$C$2:$C$30,MATCH(C190,Series!$B$2:$B$30,0))&amp;"-"&amp;INDEX(Part_Categories!$A$2:$A$18,MATCH(D190,Part_Categories!$B$2:$B$18,0))&amp;"-01","CHECK")</f>
        <v>KIR-KC2S-PST-01</v>
      </c>
      <c r="F190" s="16" t="str">
        <f aca="false">E190&amp;".jpg"</f>
        <v>KIR-KC2S-PST-01.jpg</v>
      </c>
      <c r="G190" s="18" t="str">
        <f aca="false">IFERROR(INDEX(Series!$F$2:$F$30,MATCH(C190,Series!$B$2:$B$30,0)),"")</f>
        <v>KC 21, KC 31, KC 42, KC 51, KC 63, KC 72, KC 84, KC 93, KC 102</v>
      </c>
      <c r="H190" s="19"/>
      <c r="I190" s="19"/>
      <c r="J190" s="19"/>
      <c r="K190" s="19" t="s">
        <v>70</v>
      </c>
      <c r="L190" s="19"/>
      <c r="M190" s="19"/>
      <c r="N190" s="19"/>
      <c r="O190" s="18" t="str">
        <f aca="false">C190&amp;" "&amp;D190&amp;" spare part - Efforts Engineers"</f>
        <v>Kirloskar KC Two-Stage Series Piston Assembly spare part - Efforts Engineers</v>
      </c>
      <c r="P190" s="16" t="str">
        <f aca="false">IFERROR("/"&amp;LOWER(B190)&amp;"/"&amp;INDEX(Series!$D$2:$D$30,MATCH(C190,Series!$B$2:$B$30,0))&amp;"/"&amp;INDEX(Part_Categories!$C$2:$C$18,MATCH(D190,Part_Categories!$B$2:$B$18,0)),"CHECK")</f>
        <v>/kirloskar/kc-two-stage/piston-assembly</v>
      </c>
      <c r="Q190" s="19"/>
    </row>
    <row r="191" customFormat="false" ht="23.85" hidden="false" customHeight="false" outlineLevel="0" collapsed="false">
      <c r="A191" s="16" t="n">
        <f aca="false">ROW()-1</f>
        <v>190</v>
      </c>
      <c r="B191" s="17" t="s">
        <v>56</v>
      </c>
      <c r="C191" s="17" t="s">
        <v>116</v>
      </c>
      <c r="D191" s="17" t="s">
        <v>92</v>
      </c>
      <c r="E191" s="16" t="str">
        <f aca="false">IFERROR(INDEX(Lists!$B$2:$B$7,MATCH(B191,Lists!$A$2:$A$7,0))&amp;"-"&amp;INDEX(Series!$C$2:$C$30,MATCH(C191,Series!$B$2:$B$30,0))&amp;"-"&amp;INDEX(Part_Categories!$A$2:$A$18,MATCH(D191,Part_Categories!$B$2:$B$18,0))&amp;"-01","CHECK")</f>
        <v>KIR-KC2S-PRG-01</v>
      </c>
      <c r="F191" s="16" t="str">
        <f aca="false">E191&amp;".jpg"</f>
        <v>KIR-KC2S-PRG-01.jpg</v>
      </c>
      <c r="G191" s="18" t="str">
        <f aca="false">IFERROR(INDEX(Series!$F$2:$F$30,MATCH(C191,Series!$B$2:$B$30,0)),"")</f>
        <v>KC 21, KC 31, KC 42, KC 51, KC 63, KC 72, KC 84, KC 93, KC 102</v>
      </c>
      <c r="H191" s="19"/>
      <c r="I191" s="19"/>
      <c r="J191" s="19"/>
      <c r="K191" s="19" t="s">
        <v>70</v>
      </c>
      <c r="L191" s="19"/>
      <c r="M191" s="19"/>
      <c r="N191" s="19"/>
      <c r="O191" s="18" t="str">
        <f aca="false">C191&amp;" "&amp;D191&amp;" spare part - Efforts Engineers"</f>
        <v>Kirloskar KC Two-Stage Series Piston Ring Set spare part - Efforts Engineers</v>
      </c>
      <c r="P191" s="16" t="str">
        <f aca="false">IFERROR("/"&amp;LOWER(B191)&amp;"/"&amp;INDEX(Series!$D$2:$D$30,MATCH(C191,Series!$B$2:$B$30,0))&amp;"/"&amp;INDEX(Part_Categories!$C$2:$C$18,MATCH(D191,Part_Categories!$B$2:$B$18,0)),"CHECK")</f>
        <v>/kirloskar/kc-two-stage/piston-ring-set</v>
      </c>
      <c r="Q191" s="19"/>
    </row>
    <row r="192" customFormat="false" ht="23.85" hidden="false" customHeight="false" outlineLevel="0" collapsed="false">
      <c r="A192" s="16" t="n">
        <f aca="false">ROW()-1</f>
        <v>191</v>
      </c>
      <c r="B192" s="17" t="s">
        <v>56</v>
      </c>
      <c r="C192" s="17" t="s">
        <v>116</v>
      </c>
      <c r="D192" s="17" t="s">
        <v>93</v>
      </c>
      <c r="E192" s="16" t="str">
        <f aca="false">IFERROR(INDEX(Lists!$B$2:$B$7,MATCH(B192,Lists!$A$2:$A$7,0))&amp;"-"&amp;INDEX(Series!$C$2:$C$30,MATCH(C192,Series!$B$2:$B$30,0))&amp;"-"&amp;INDEX(Part_Categories!$A$2:$A$18,MATCH(D192,Part_Categories!$B$2:$B$18,0))&amp;"-01","CHECK")</f>
        <v>KIR-KC2S-CRD-01</v>
      </c>
      <c r="F192" s="16" t="str">
        <f aca="false">E192&amp;".jpg"</f>
        <v>KIR-KC2S-CRD-01.jpg</v>
      </c>
      <c r="G192" s="18" t="str">
        <f aca="false">IFERROR(INDEX(Series!$F$2:$F$30,MATCH(C192,Series!$B$2:$B$30,0)),"")</f>
        <v>KC 21, KC 31, KC 42, KC 51, KC 63, KC 72, KC 84, KC 93, KC 102</v>
      </c>
      <c r="H192" s="19"/>
      <c r="I192" s="19"/>
      <c r="J192" s="19"/>
      <c r="K192" s="19" t="s">
        <v>70</v>
      </c>
      <c r="L192" s="19"/>
      <c r="M192" s="19"/>
      <c r="N192" s="19"/>
      <c r="O192" s="18" t="str">
        <f aca="false">C192&amp;" "&amp;D192&amp;" spare part - Efforts Engineers"</f>
        <v>Kirloskar KC Two-Stage Series Connecting Rod spare part - Efforts Engineers</v>
      </c>
      <c r="P192" s="16" t="str">
        <f aca="false">IFERROR("/"&amp;LOWER(B192)&amp;"/"&amp;INDEX(Series!$D$2:$D$30,MATCH(C192,Series!$B$2:$B$30,0))&amp;"/"&amp;INDEX(Part_Categories!$C$2:$C$18,MATCH(D192,Part_Categories!$B$2:$B$18,0)),"CHECK")</f>
        <v>/kirloskar/kc-two-stage/connecting-rod</v>
      </c>
      <c r="Q192" s="19"/>
    </row>
    <row r="193" customFormat="false" ht="23.85" hidden="false" customHeight="false" outlineLevel="0" collapsed="false">
      <c r="A193" s="16" t="n">
        <f aca="false">ROW()-1</f>
        <v>192</v>
      </c>
      <c r="B193" s="17" t="s">
        <v>56</v>
      </c>
      <c r="C193" s="17" t="s">
        <v>116</v>
      </c>
      <c r="D193" s="17" t="s">
        <v>94</v>
      </c>
      <c r="E193" s="16" t="str">
        <f aca="false">IFERROR(INDEX(Lists!$B$2:$B$7,MATCH(B193,Lists!$A$2:$A$7,0))&amp;"-"&amp;INDEX(Series!$C$2:$C$30,MATCH(C193,Series!$B$2:$B$30,0))&amp;"-"&amp;INDEX(Part_Categories!$A$2:$A$18,MATCH(D193,Part_Categories!$B$2:$B$18,0))&amp;"-01","CHECK")</f>
        <v>KIR-KC2S-CRK-01</v>
      </c>
      <c r="F193" s="16" t="str">
        <f aca="false">E193&amp;".jpg"</f>
        <v>KIR-KC2S-CRK-01.jpg</v>
      </c>
      <c r="G193" s="18" t="str">
        <f aca="false">IFERROR(INDEX(Series!$F$2:$F$30,MATCH(C193,Series!$B$2:$B$30,0)),"")</f>
        <v>KC 21, KC 31, KC 42, KC 51, KC 63, KC 72, KC 84, KC 93, KC 102</v>
      </c>
      <c r="H193" s="19"/>
      <c r="I193" s="19"/>
      <c r="J193" s="19"/>
      <c r="K193" s="19" t="s">
        <v>70</v>
      </c>
      <c r="L193" s="19"/>
      <c r="M193" s="19"/>
      <c r="N193" s="19"/>
      <c r="O193" s="18" t="str">
        <f aca="false">C193&amp;" "&amp;D193&amp;" spare part - Efforts Engineers"</f>
        <v>Kirloskar KC Two-Stage Series Crankshaft spare part - Efforts Engineers</v>
      </c>
      <c r="P193" s="16" t="str">
        <f aca="false">IFERROR("/"&amp;LOWER(B193)&amp;"/"&amp;INDEX(Series!$D$2:$D$30,MATCH(C193,Series!$B$2:$B$30,0))&amp;"/"&amp;INDEX(Part_Categories!$C$2:$C$18,MATCH(D193,Part_Categories!$B$2:$B$18,0)),"CHECK")</f>
        <v>/kirloskar/kc-two-stage/crankshaft</v>
      </c>
      <c r="Q193" s="19"/>
    </row>
    <row r="194" customFormat="false" ht="23.85" hidden="false" customHeight="false" outlineLevel="0" collapsed="false">
      <c r="A194" s="16" t="n">
        <f aca="false">ROW()-1</f>
        <v>193</v>
      </c>
      <c r="B194" s="17" t="s">
        <v>56</v>
      </c>
      <c r="C194" s="17" t="s">
        <v>116</v>
      </c>
      <c r="D194" s="17" t="s">
        <v>95</v>
      </c>
      <c r="E194" s="16" t="str">
        <f aca="false">IFERROR(INDEX(Lists!$B$2:$B$7,MATCH(B194,Lists!$A$2:$A$7,0))&amp;"-"&amp;INDEX(Series!$C$2:$C$30,MATCH(C194,Series!$B$2:$B$30,0))&amp;"-"&amp;INDEX(Part_Categories!$A$2:$A$18,MATCH(D194,Part_Categories!$B$2:$B$18,0))&amp;"-01","CHECK")</f>
        <v>KIR-KC2S-PIN-01</v>
      </c>
      <c r="F194" s="16" t="str">
        <f aca="false">E194&amp;".jpg"</f>
        <v>KIR-KC2S-PIN-01.jpg</v>
      </c>
      <c r="G194" s="18" t="str">
        <f aca="false">IFERROR(INDEX(Series!$F$2:$F$30,MATCH(C194,Series!$B$2:$B$30,0)),"")</f>
        <v>KC 21, KC 31, KC 42, KC 51, KC 63, KC 72, KC 84, KC 93, KC 102</v>
      </c>
      <c r="H194" s="19"/>
      <c r="I194" s="19"/>
      <c r="J194" s="19"/>
      <c r="K194" s="19" t="s">
        <v>70</v>
      </c>
      <c r="L194" s="19"/>
      <c r="M194" s="19"/>
      <c r="N194" s="19"/>
      <c r="O194" s="18" t="str">
        <f aca="false">C194&amp;" "&amp;D194&amp;" spare part - Efforts Engineers"</f>
        <v>Kirloskar KC Two-Stage Series Gudgeon Pin and Bush spare part - Efforts Engineers</v>
      </c>
      <c r="P194" s="16" t="str">
        <f aca="false">IFERROR("/"&amp;LOWER(B194)&amp;"/"&amp;INDEX(Series!$D$2:$D$30,MATCH(C194,Series!$B$2:$B$30,0))&amp;"/"&amp;INDEX(Part_Categories!$C$2:$C$18,MATCH(D194,Part_Categories!$B$2:$B$18,0)),"CHECK")</f>
        <v>/kirloskar/kc-two-stage/gudgeon-pin-and-bush</v>
      </c>
      <c r="Q194" s="19"/>
    </row>
    <row r="195" customFormat="false" ht="23.85" hidden="false" customHeight="false" outlineLevel="0" collapsed="false">
      <c r="A195" s="16" t="n">
        <f aca="false">ROW()-1</f>
        <v>194</v>
      </c>
      <c r="B195" s="17" t="s">
        <v>56</v>
      </c>
      <c r="C195" s="17" t="s">
        <v>116</v>
      </c>
      <c r="D195" s="17" t="s">
        <v>96</v>
      </c>
      <c r="E195" s="16" t="str">
        <f aca="false">IFERROR(INDEX(Lists!$B$2:$B$7,MATCH(B195,Lists!$A$2:$A$7,0))&amp;"-"&amp;INDEX(Series!$C$2:$C$30,MATCH(C195,Series!$B$2:$B$30,0))&amp;"-"&amp;INDEX(Part_Categories!$A$2:$A$18,MATCH(D195,Part_Categories!$B$2:$B$18,0))&amp;"-01","CHECK")</f>
        <v>KIR-KC2S-BRG-01</v>
      </c>
      <c r="F195" s="16" t="str">
        <f aca="false">E195&amp;".jpg"</f>
        <v>KIR-KC2S-BRG-01.jpg</v>
      </c>
      <c r="G195" s="18" t="str">
        <f aca="false">IFERROR(INDEX(Series!$F$2:$F$30,MATCH(C195,Series!$B$2:$B$30,0)),"")</f>
        <v>KC 21, KC 31, KC 42, KC 51, KC 63, KC 72, KC 84, KC 93, KC 102</v>
      </c>
      <c r="H195" s="19"/>
      <c r="I195" s="19"/>
      <c r="J195" s="19"/>
      <c r="K195" s="19" t="s">
        <v>70</v>
      </c>
      <c r="L195" s="19"/>
      <c r="M195" s="19"/>
      <c r="N195" s="19"/>
      <c r="O195" s="18" t="str">
        <f aca="false">C195&amp;" "&amp;D195&amp;" spare part - Efforts Engineers"</f>
        <v>Kirloskar KC Two-Stage Series Main Bearing and Bush spare part - Efforts Engineers</v>
      </c>
      <c r="P195" s="16" t="str">
        <f aca="false">IFERROR("/"&amp;LOWER(B195)&amp;"/"&amp;INDEX(Series!$D$2:$D$30,MATCH(C195,Series!$B$2:$B$30,0))&amp;"/"&amp;INDEX(Part_Categories!$C$2:$C$18,MATCH(D195,Part_Categories!$B$2:$B$18,0)),"CHECK")</f>
        <v>/kirloskar/kc-two-stage/main-bearing-and-bush</v>
      </c>
      <c r="Q195" s="19"/>
    </row>
    <row r="196" customFormat="false" ht="23.85" hidden="false" customHeight="false" outlineLevel="0" collapsed="false">
      <c r="A196" s="16" t="n">
        <f aca="false">ROW()-1</f>
        <v>195</v>
      </c>
      <c r="B196" s="17" t="s">
        <v>56</v>
      </c>
      <c r="C196" s="17" t="s">
        <v>116</v>
      </c>
      <c r="D196" s="17" t="s">
        <v>97</v>
      </c>
      <c r="E196" s="16" t="str">
        <f aca="false">IFERROR(INDEX(Lists!$B$2:$B$7,MATCH(B196,Lists!$A$2:$A$7,0))&amp;"-"&amp;INDEX(Series!$C$2:$C$30,MATCH(C196,Series!$B$2:$B$30,0))&amp;"-"&amp;INDEX(Part_Categories!$A$2:$A$18,MATCH(D196,Part_Categories!$B$2:$B$18,0))&amp;"-01","CHECK")</f>
        <v>KIR-KC2S-SVP-01</v>
      </c>
      <c r="F196" s="16" t="str">
        <f aca="false">E196&amp;".jpg"</f>
        <v>KIR-KC2S-SVP-01.jpg</v>
      </c>
      <c r="G196" s="18" t="str">
        <f aca="false">IFERROR(INDEX(Series!$F$2:$F$30,MATCH(C196,Series!$B$2:$B$30,0)),"")</f>
        <v>KC 21, KC 31, KC 42, KC 51, KC 63, KC 72, KC 84, KC 93, KC 102</v>
      </c>
      <c r="H196" s="19"/>
      <c r="I196" s="19"/>
      <c r="J196" s="19"/>
      <c r="K196" s="19" t="s">
        <v>70</v>
      </c>
      <c r="L196" s="19"/>
      <c r="M196" s="19"/>
      <c r="N196" s="19"/>
      <c r="O196" s="18" t="str">
        <f aca="false">C196&amp;" "&amp;D196&amp;" spare part - Efforts Engineers"</f>
        <v>Kirloskar KC Two-Stage Series Suction Valve Plate spare part - Efforts Engineers</v>
      </c>
      <c r="P196" s="16" t="str">
        <f aca="false">IFERROR("/"&amp;LOWER(B196)&amp;"/"&amp;INDEX(Series!$D$2:$D$30,MATCH(C196,Series!$B$2:$B$30,0))&amp;"/"&amp;INDEX(Part_Categories!$C$2:$C$18,MATCH(D196,Part_Categories!$B$2:$B$18,0)),"CHECK")</f>
        <v>/kirloskar/kc-two-stage/suction-valve-plate</v>
      </c>
      <c r="Q196" s="19"/>
    </row>
    <row r="197" customFormat="false" ht="23.85" hidden="false" customHeight="false" outlineLevel="0" collapsed="false">
      <c r="A197" s="16" t="n">
        <f aca="false">ROW()-1</f>
        <v>196</v>
      </c>
      <c r="B197" s="17" t="s">
        <v>56</v>
      </c>
      <c r="C197" s="17" t="s">
        <v>116</v>
      </c>
      <c r="D197" s="17" t="s">
        <v>98</v>
      </c>
      <c r="E197" s="16" t="str">
        <f aca="false">IFERROR(INDEX(Lists!$B$2:$B$7,MATCH(B197,Lists!$A$2:$A$7,0))&amp;"-"&amp;INDEX(Series!$C$2:$C$30,MATCH(C197,Series!$B$2:$B$30,0))&amp;"-"&amp;INDEX(Part_Categories!$A$2:$A$18,MATCH(D197,Part_Categories!$B$2:$B$18,0))&amp;"-01","CHECK")</f>
        <v>KIR-KC2S-DVA-01</v>
      </c>
      <c r="F197" s="16" t="str">
        <f aca="false">E197&amp;".jpg"</f>
        <v>KIR-KC2S-DVA-01.jpg</v>
      </c>
      <c r="G197" s="18" t="str">
        <f aca="false">IFERROR(INDEX(Series!$F$2:$F$30,MATCH(C197,Series!$B$2:$B$30,0)),"")</f>
        <v>KC 21, KC 31, KC 42, KC 51, KC 63, KC 72, KC 84, KC 93, KC 102</v>
      </c>
      <c r="H197" s="19"/>
      <c r="I197" s="19"/>
      <c r="J197" s="19"/>
      <c r="K197" s="19" t="s">
        <v>70</v>
      </c>
      <c r="L197" s="19"/>
      <c r="M197" s="19"/>
      <c r="N197" s="19"/>
      <c r="O197" s="18" t="str">
        <f aca="false">C197&amp;" "&amp;D197&amp;" spare part - Efforts Engineers"</f>
        <v>Kirloskar KC Two-Stage Series Discharge Valve Assembly spare part - Efforts Engineers</v>
      </c>
      <c r="P197" s="16" t="str">
        <f aca="false">IFERROR("/"&amp;LOWER(B197)&amp;"/"&amp;INDEX(Series!$D$2:$D$30,MATCH(C197,Series!$B$2:$B$30,0))&amp;"/"&amp;INDEX(Part_Categories!$C$2:$C$18,MATCH(D197,Part_Categories!$B$2:$B$18,0)),"CHECK")</f>
        <v>/kirloskar/kc-two-stage/discharge-valve-assembly</v>
      </c>
      <c r="Q197" s="19"/>
    </row>
    <row r="198" customFormat="false" ht="23.85" hidden="false" customHeight="false" outlineLevel="0" collapsed="false">
      <c r="A198" s="16" t="n">
        <f aca="false">ROW()-1</f>
        <v>197</v>
      </c>
      <c r="B198" s="17" t="s">
        <v>56</v>
      </c>
      <c r="C198" s="17" t="s">
        <v>116</v>
      </c>
      <c r="D198" s="17" t="s">
        <v>99</v>
      </c>
      <c r="E198" s="16" t="str">
        <f aca="false">IFERROR(INDEX(Lists!$B$2:$B$7,MATCH(B198,Lists!$A$2:$A$7,0))&amp;"-"&amp;INDEX(Series!$C$2:$C$30,MATCH(C198,Series!$B$2:$B$30,0))&amp;"-"&amp;INDEX(Part_Categories!$A$2:$A$18,MATCH(D198,Part_Categories!$B$2:$B$18,0))&amp;"-01","CHECK")</f>
        <v>KIR-KC2S-VSP-01</v>
      </c>
      <c r="F198" s="16" t="str">
        <f aca="false">E198&amp;".jpg"</f>
        <v>KIR-KC2S-VSP-01.jpg</v>
      </c>
      <c r="G198" s="18" t="str">
        <f aca="false">IFERROR(INDEX(Series!$F$2:$F$30,MATCH(C198,Series!$B$2:$B$30,0)),"")</f>
        <v>KC 21, KC 31, KC 42, KC 51, KC 63, KC 72, KC 84, KC 93, KC 102</v>
      </c>
      <c r="H198" s="19"/>
      <c r="I198" s="19"/>
      <c r="J198" s="19"/>
      <c r="K198" s="19" t="s">
        <v>70</v>
      </c>
      <c r="L198" s="19"/>
      <c r="M198" s="19"/>
      <c r="N198" s="19"/>
      <c r="O198" s="18" t="str">
        <f aca="false">C198&amp;" "&amp;D198&amp;" spare part - Efforts Engineers"</f>
        <v>Kirloskar KC Two-Stage Series Valve Spring and Cage spare part - Efforts Engineers</v>
      </c>
      <c r="P198" s="16" t="str">
        <f aca="false">IFERROR("/"&amp;LOWER(B198)&amp;"/"&amp;INDEX(Series!$D$2:$D$30,MATCH(C198,Series!$B$2:$B$30,0))&amp;"/"&amp;INDEX(Part_Categories!$C$2:$C$18,MATCH(D198,Part_Categories!$B$2:$B$18,0)),"CHECK")</f>
        <v>/kirloskar/kc-two-stage/valve-spring-and-cage</v>
      </c>
      <c r="Q198" s="19"/>
    </row>
    <row r="199" customFormat="false" ht="23.85" hidden="false" customHeight="false" outlineLevel="0" collapsed="false">
      <c r="A199" s="16" t="n">
        <f aca="false">ROW()-1</f>
        <v>198</v>
      </c>
      <c r="B199" s="17" t="s">
        <v>56</v>
      </c>
      <c r="C199" s="17" t="s">
        <v>116</v>
      </c>
      <c r="D199" s="17" t="s">
        <v>100</v>
      </c>
      <c r="E199" s="16" t="str">
        <f aca="false">IFERROR(INDEX(Lists!$B$2:$B$7,MATCH(B199,Lists!$A$2:$A$7,0))&amp;"-"&amp;INDEX(Series!$C$2:$C$30,MATCH(C199,Series!$B$2:$B$30,0))&amp;"-"&amp;INDEX(Part_Categories!$A$2:$A$18,MATCH(D199,Part_Categories!$B$2:$B$18,0))&amp;"-01","CHECK")</f>
        <v>KIR-KC2S-HDC-01</v>
      </c>
      <c r="F199" s="16" t="str">
        <f aca="false">E199&amp;".jpg"</f>
        <v>KIR-KC2S-HDC-01.jpg</v>
      </c>
      <c r="G199" s="18" t="str">
        <f aca="false">IFERROR(INDEX(Series!$F$2:$F$30,MATCH(C199,Series!$B$2:$B$30,0)),"")</f>
        <v>KC 21, KC 31, KC 42, KC 51, KC 63, KC 72, KC 84, KC 93, KC 102</v>
      </c>
      <c r="H199" s="19"/>
      <c r="I199" s="19"/>
      <c r="J199" s="19"/>
      <c r="K199" s="19" t="s">
        <v>70</v>
      </c>
      <c r="L199" s="19"/>
      <c r="M199" s="19"/>
      <c r="N199" s="19"/>
      <c r="O199" s="18" t="str">
        <f aca="false">C199&amp;" "&amp;D199&amp;" spare part - Efforts Engineers"</f>
        <v>Kirloskar KC Two-Stage Series Cylinder Head Cover spare part - Efforts Engineers</v>
      </c>
      <c r="P199" s="16" t="str">
        <f aca="false">IFERROR("/"&amp;LOWER(B199)&amp;"/"&amp;INDEX(Series!$D$2:$D$30,MATCH(C199,Series!$B$2:$B$30,0))&amp;"/"&amp;INDEX(Part_Categories!$C$2:$C$18,MATCH(D199,Part_Categories!$B$2:$B$18,0)),"CHECK")</f>
        <v>/kirloskar/kc-two-stage/cylinder-head-cover</v>
      </c>
      <c r="Q199" s="19"/>
    </row>
    <row r="200" customFormat="false" ht="23.85" hidden="false" customHeight="false" outlineLevel="0" collapsed="false">
      <c r="A200" s="16" t="n">
        <f aca="false">ROW()-1</f>
        <v>199</v>
      </c>
      <c r="B200" s="17" t="s">
        <v>56</v>
      </c>
      <c r="C200" s="17" t="s">
        <v>116</v>
      </c>
      <c r="D200" s="17" t="s">
        <v>101</v>
      </c>
      <c r="E200" s="16" t="str">
        <f aca="false">IFERROR(INDEX(Lists!$B$2:$B$7,MATCH(B200,Lists!$A$2:$A$7,0))&amp;"-"&amp;INDEX(Series!$C$2:$C$30,MATCH(C200,Series!$B$2:$B$30,0))&amp;"-"&amp;INDEX(Part_Categories!$A$2:$A$18,MATCH(D200,Part_Categories!$B$2:$B$18,0))&amp;"-01","CHECK")</f>
        <v>KIR-KC2S-GSK-01</v>
      </c>
      <c r="F200" s="16" t="str">
        <f aca="false">E200&amp;".jpg"</f>
        <v>KIR-KC2S-GSK-01.jpg</v>
      </c>
      <c r="G200" s="18" t="str">
        <f aca="false">IFERROR(INDEX(Series!$F$2:$F$30,MATCH(C200,Series!$B$2:$B$30,0)),"")</f>
        <v>KC 21, KC 31, KC 42, KC 51, KC 63, KC 72, KC 84, KC 93, KC 102</v>
      </c>
      <c r="H200" s="19"/>
      <c r="I200" s="19"/>
      <c r="J200" s="19"/>
      <c r="K200" s="19" t="s">
        <v>70</v>
      </c>
      <c r="L200" s="19"/>
      <c r="M200" s="19"/>
      <c r="N200" s="19"/>
      <c r="O200" s="18" t="str">
        <f aca="false">C200&amp;" "&amp;D200&amp;" spare part - Efforts Engineers"</f>
        <v>Kirloskar KC Two-Stage Series Gasket and Overhaul Kit spare part - Efforts Engineers</v>
      </c>
      <c r="P200" s="16" t="str">
        <f aca="false">IFERROR("/"&amp;LOWER(B200)&amp;"/"&amp;INDEX(Series!$D$2:$D$30,MATCH(C200,Series!$B$2:$B$30,0))&amp;"/"&amp;INDEX(Part_Categories!$C$2:$C$18,MATCH(D200,Part_Categories!$B$2:$B$18,0)),"CHECK")</f>
        <v>/kirloskar/kc-two-stage/gasket-and-overhaul-kit</v>
      </c>
      <c r="Q200" s="19"/>
    </row>
    <row r="201" customFormat="false" ht="23.85" hidden="false" customHeight="false" outlineLevel="0" collapsed="false">
      <c r="A201" s="16" t="n">
        <f aca="false">ROW()-1</f>
        <v>200</v>
      </c>
      <c r="B201" s="17" t="s">
        <v>56</v>
      </c>
      <c r="C201" s="17" t="s">
        <v>116</v>
      </c>
      <c r="D201" s="17" t="s">
        <v>102</v>
      </c>
      <c r="E201" s="16" t="str">
        <f aca="false">IFERROR(INDEX(Lists!$B$2:$B$7,MATCH(B201,Lists!$A$2:$A$7,0))&amp;"-"&amp;INDEX(Series!$C$2:$C$30,MATCH(C201,Series!$B$2:$B$30,0))&amp;"-"&amp;INDEX(Part_Categories!$A$2:$A$18,MATCH(D201,Part_Categories!$B$2:$B$18,0))&amp;"-01","CHECK")</f>
        <v>KIR-KC2S-OPA-01</v>
      </c>
      <c r="F201" s="16" t="str">
        <f aca="false">E201&amp;".jpg"</f>
        <v>KIR-KC2S-OPA-01.jpg</v>
      </c>
      <c r="G201" s="18" t="str">
        <f aca="false">IFERROR(INDEX(Series!$F$2:$F$30,MATCH(C201,Series!$B$2:$B$30,0)),"")</f>
        <v>KC 21, KC 31, KC 42, KC 51, KC 63, KC 72, KC 84, KC 93, KC 102</v>
      </c>
      <c r="H201" s="19"/>
      <c r="I201" s="19"/>
      <c r="J201" s="19"/>
      <c r="K201" s="19" t="s">
        <v>70</v>
      </c>
      <c r="L201" s="19"/>
      <c r="M201" s="19"/>
      <c r="N201" s="19"/>
      <c r="O201" s="18" t="str">
        <f aca="false">C201&amp;" "&amp;D201&amp;" spare part - Efforts Engineers"</f>
        <v>Kirloskar KC Two-Stage Series Oil Pump Assembly spare part - Efforts Engineers</v>
      </c>
      <c r="P201" s="16" t="str">
        <f aca="false">IFERROR("/"&amp;LOWER(B201)&amp;"/"&amp;INDEX(Series!$D$2:$D$30,MATCH(C201,Series!$B$2:$B$30,0))&amp;"/"&amp;INDEX(Part_Categories!$C$2:$C$18,MATCH(D201,Part_Categories!$B$2:$B$18,0)),"CHECK")</f>
        <v>/kirloskar/kc-two-stage/oil-pump-assembly</v>
      </c>
      <c r="Q201" s="19"/>
    </row>
    <row r="202" customFormat="false" ht="23.85" hidden="false" customHeight="false" outlineLevel="0" collapsed="false">
      <c r="A202" s="16" t="n">
        <f aca="false">ROW()-1</f>
        <v>201</v>
      </c>
      <c r="B202" s="17" t="s">
        <v>56</v>
      </c>
      <c r="C202" s="17" t="s">
        <v>116</v>
      </c>
      <c r="D202" s="17" t="s">
        <v>103</v>
      </c>
      <c r="E202" s="16" t="str">
        <f aca="false">IFERROR(INDEX(Lists!$B$2:$B$7,MATCH(B202,Lists!$A$2:$A$7,0))&amp;"-"&amp;INDEX(Series!$C$2:$C$30,MATCH(C202,Series!$B$2:$B$30,0))&amp;"-"&amp;INDEX(Part_Categories!$A$2:$A$18,MATCH(D202,Part_Categories!$B$2:$B$18,0))&amp;"-01","CHECK")</f>
        <v>KIR-KC2S-SHS-01</v>
      </c>
      <c r="F202" s="16" t="str">
        <f aca="false">E202&amp;".jpg"</f>
        <v>KIR-KC2S-SHS-01.jpg</v>
      </c>
      <c r="G202" s="18" t="str">
        <f aca="false">IFERROR(INDEX(Series!$F$2:$F$30,MATCH(C202,Series!$B$2:$B$30,0)),"")</f>
        <v>KC 21, KC 31, KC 42, KC 51, KC 63, KC 72, KC 84, KC 93, KC 102</v>
      </c>
      <c r="H202" s="19"/>
      <c r="I202" s="19"/>
      <c r="J202" s="19"/>
      <c r="K202" s="19" t="s">
        <v>70</v>
      </c>
      <c r="L202" s="19"/>
      <c r="M202" s="19"/>
      <c r="N202" s="19"/>
      <c r="O202" s="18" t="str">
        <f aca="false">C202&amp;" "&amp;D202&amp;" spare part - Efforts Engineers"</f>
        <v>Kirloskar KC Two-Stage Series Shaft Seal spare part - Efforts Engineers</v>
      </c>
      <c r="P202" s="16" t="str">
        <f aca="false">IFERROR("/"&amp;LOWER(B202)&amp;"/"&amp;INDEX(Series!$D$2:$D$30,MATCH(C202,Series!$B$2:$B$30,0))&amp;"/"&amp;INDEX(Part_Categories!$C$2:$C$18,MATCH(D202,Part_Categories!$B$2:$B$18,0)),"CHECK")</f>
        <v>/kirloskar/kc-two-stage/shaft-seal</v>
      </c>
      <c r="Q202" s="19"/>
    </row>
    <row r="203" customFormat="false" ht="23.85" hidden="false" customHeight="false" outlineLevel="0" collapsed="false">
      <c r="A203" s="16" t="n">
        <f aca="false">ROW()-1</f>
        <v>202</v>
      </c>
      <c r="B203" s="17" t="s">
        <v>56</v>
      </c>
      <c r="C203" s="17" t="s">
        <v>116</v>
      </c>
      <c r="D203" s="17" t="s">
        <v>104</v>
      </c>
      <c r="E203" s="16" t="str">
        <f aca="false">IFERROR(INDEX(Lists!$B$2:$B$7,MATCH(B203,Lists!$A$2:$A$7,0))&amp;"-"&amp;INDEX(Series!$C$2:$C$30,MATCH(C203,Series!$B$2:$B$30,0))&amp;"-"&amp;INDEX(Part_Categories!$A$2:$A$18,MATCH(D203,Part_Categories!$B$2:$B$18,0))&amp;"-01","CHECK")</f>
        <v>KIR-KC2S-FLT-01</v>
      </c>
      <c r="F203" s="16" t="str">
        <f aca="false">E203&amp;".jpg"</f>
        <v>KIR-KC2S-FLT-01.jpg</v>
      </c>
      <c r="G203" s="18" t="str">
        <f aca="false">IFERROR(INDEX(Series!$F$2:$F$30,MATCH(C203,Series!$B$2:$B$30,0)),"")</f>
        <v>KC 21, KC 31, KC 42, KC 51, KC 63, KC 72, KC 84, KC 93, KC 102</v>
      </c>
      <c r="H203" s="19"/>
      <c r="I203" s="19"/>
      <c r="J203" s="19"/>
      <c r="K203" s="19" t="s">
        <v>70</v>
      </c>
      <c r="L203" s="19"/>
      <c r="M203" s="19"/>
      <c r="N203" s="19"/>
      <c r="O203" s="18" t="str">
        <f aca="false">C203&amp;" "&amp;D203&amp;" spare part - Efforts Engineers"</f>
        <v>Kirloskar KC Two-Stage Series Oil Filter and Strainer spare part - Efforts Engineers</v>
      </c>
      <c r="P203" s="16" t="str">
        <f aca="false">IFERROR("/"&amp;LOWER(B203)&amp;"/"&amp;INDEX(Series!$D$2:$D$30,MATCH(C203,Series!$B$2:$B$30,0))&amp;"/"&amp;INDEX(Part_Categories!$C$2:$C$18,MATCH(D203,Part_Categories!$B$2:$B$18,0)),"CHECK")</f>
        <v>/kirloskar/kc-two-stage/oil-filter-and-strainer</v>
      </c>
      <c r="Q203" s="19"/>
    </row>
    <row r="204" customFormat="false" ht="23.85" hidden="false" customHeight="false" outlineLevel="0" collapsed="false">
      <c r="A204" s="16" t="n">
        <f aca="false">ROW()-1</f>
        <v>203</v>
      </c>
      <c r="B204" s="17" t="s">
        <v>56</v>
      </c>
      <c r="C204" s="17" t="s">
        <v>116</v>
      </c>
      <c r="D204" s="17" t="s">
        <v>105</v>
      </c>
      <c r="E204" s="16" t="str">
        <f aca="false">IFERROR(INDEX(Lists!$B$2:$B$7,MATCH(B204,Lists!$A$2:$A$7,0))&amp;"-"&amp;INDEX(Series!$C$2:$C$30,MATCH(C204,Series!$B$2:$B$30,0))&amp;"-"&amp;INDEX(Part_Categories!$A$2:$A$18,MATCH(D204,Part_Categories!$B$2:$B$18,0))&amp;"-01","CHECK")</f>
        <v>KIR-KC2S-ULD-01</v>
      </c>
      <c r="F204" s="16" t="str">
        <f aca="false">E204&amp;".jpg"</f>
        <v>KIR-KC2S-ULD-01.jpg</v>
      </c>
      <c r="G204" s="18" t="str">
        <f aca="false">IFERROR(INDEX(Series!$F$2:$F$30,MATCH(C204,Series!$B$2:$B$30,0)),"")</f>
        <v>KC 21, KC 31, KC 42, KC 51, KC 63, KC 72, KC 84, KC 93, KC 102</v>
      </c>
      <c r="H204" s="19"/>
      <c r="I204" s="19"/>
      <c r="J204" s="19"/>
      <c r="K204" s="19" t="s">
        <v>70</v>
      </c>
      <c r="L204" s="19"/>
      <c r="M204" s="19"/>
      <c r="N204" s="19"/>
      <c r="O204" s="18" t="str">
        <f aca="false">C204&amp;" "&amp;D204&amp;" spare part - Efforts Engineers"</f>
        <v>Kirloskar KC Two-Stage Series Unloader and Capacity Control spare part - Efforts Engineers</v>
      </c>
      <c r="P204" s="16" t="str">
        <f aca="false">IFERROR("/"&amp;LOWER(B204)&amp;"/"&amp;INDEX(Series!$D$2:$D$30,MATCH(C204,Series!$B$2:$B$30,0))&amp;"/"&amp;INDEX(Part_Categories!$C$2:$C$18,MATCH(D204,Part_Categories!$B$2:$B$18,0)),"CHECK")</f>
        <v>/kirloskar/kc-two-stage/unloader-and-capacity-control</v>
      </c>
      <c r="Q204" s="19"/>
    </row>
    <row r="205" customFormat="false" ht="23.85" hidden="false" customHeight="false" outlineLevel="0" collapsed="false">
      <c r="A205" s="16" t="n">
        <f aca="false">ROW()-1</f>
        <v>204</v>
      </c>
      <c r="B205" s="17" t="s">
        <v>56</v>
      </c>
      <c r="C205" s="17" t="s">
        <v>116</v>
      </c>
      <c r="D205" s="17" t="s">
        <v>106</v>
      </c>
      <c r="E205" s="16" t="str">
        <f aca="false">IFERROR(INDEX(Lists!$B$2:$B$7,MATCH(B205,Lists!$A$2:$A$7,0))&amp;"-"&amp;INDEX(Series!$C$2:$C$30,MATCH(C205,Series!$B$2:$B$30,0))&amp;"-"&amp;INDEX(Part_Categories!$A$2:$A$18,MATCH(D205,Part_Categories!$B$2:$B$18,0))&amp;"-01","CHECK")</f>
        <v>KIR-KC2S-SAF-01</v>
      </c>
      <c r="F205" s="16" t="str">
        <f aca="false">E205&amp;".jpg"</f>
        <v>KIR-KC2S-SAF-01.jpg</v>
      </c>
      <c r="G205" s="18" t="str">
        <f aca="false">IFERROR(INDEX(Series!$F$2:$F$30,MATCH(C205,Series!$B$2:$B$30,0)),"")</f>
        <v>KC 21, KC 31, KC 42, KC 51, KC 63, KC 72, KC 84, KC 93, KC 102</v>
      </c>
      <c r="H205" s="19"/>
      <c r="I205" s="19"/>
      <c r="J205" s="19"/>
      <c r="K205" s="19" t="s">
        <v>70</v>
      </c>
      <c r="L205" s="19"/>
      <c r="M205" s="19"/>
      <c r="N205" s="19"/>
      <c r="O205" s="18" t="str">
        <f aca="false">C205&amp;" "&amp;D205&amp;" spare part - Efforts Engineers"</f>
        <v>Kirloskar KC Two-Stage Series Safety Head and Relief Valve spare part - Efforts Engineers</v>
      </c>
      <c r="P205" s="16" t="str">
        <f aca="false">IFERROR("/"&amp;LOWER(B205)&amp;"/"&amp;INDEX(Series!$D$2:$D$30,MATCH(C205,Series!$B$2:$B$30,0))&amp;"/"&amp;INDEX(Part_Categories!$C$2:$C$18,MATCH(D205,Part_Categories!$B$2:$B$18,0)),"CHECK")</f>
        <v>/kirloskar/kc-two-stage/safety-head-and-relief-valve</v>
      </c>
      <c r="Q205" s="19"/>
    </row>
    <row r="206" customFormat="false" ht="23.85" hidden="false" customHeight="false" outlineLevel="0" collapsed="false">
      <c r="A206" s="16" t="n">
        <f aca="false">ROW()-1</f>
        <v>205</v>
      </c>
      <c r="B206" s="17" t="s">
        <v>56</v>
      </c>
      <c r="C206" s="17" t="s">
        <v>117</v>
      </c>
      <c r="D206" s="17" t="s">
        <v>58</v>
      </c>
      <c r="E206" s="16" t="str">
        <f aca="false">IFERROR(INDEX(Lists!$B$2:$B$7,MATCH(B206,Lists!$A$2:$A$7,0))&amp;"-"&amp;INDEX(Series!$C$2:$C$30,MATCH(C206,Series!$B$2:$B$30,0))&amp;"-"&amp;INDEX(Part_Categories!$A$2:$A$18,MATCH(D206,Part_Categories!$B$2:$B$18,0))&amp;"-01","CHECK")</f>
        <v>KIR-KCX-CLN-01</v>
      </c>
      <c r="F206" s="16" t="str">
        <f aca="false">E206&amp;".jpg"</f>
        <v>KIR-KCX-CLN-01.jpg</v>
      </c>
      <c r="G206" s="18" t="str">
        <f aca="false">IFERROR(INDEX(Series!$F$2:$F$30,MATCH(C206,Series!$B$2:$B$30,0)),"")</f>
        <v>KCX 2, KCX 3, KCX 4, KCX 6</v>
      </c>
      <c r="H206" s="19"/>
      <c r="I206" s="19"/>
      <c r="J206" s="19"/>
      <c r="K206" s="19" t="s">
        <v>70</v>
      </c>
      <c r="L206" s="19"/>
      <c r="M206" s="19"/>
      <c r="N206" s="19"/>
      <c r="O206" s="18" t="str">
        <f aca="false">C206&amp;" "&amp;D206&amp;" spare part - Efforts Engineers"</f>
        <v>Kirloskar KCX Series Cylinder Liner spare part - Efforts Engineers</v>
      </c>
      <c r="P206" s="16" t="str">
        <f aca="false">IFERROR("/"&amp;LOWER(B206)&amp;"/"&amp;INDEX(Series!$D$2:$D$30,MATCH(C206,Series!$B$2:$B$30,0))&amp;"/"&amp;INDEX(Part_Categories!$C$2:$C$18,MATCH(D206,Part_Categories!$B$2:$B$18,0)),"CHECK")</f>
        <v>/kirloskar/kcx/cylinder-liner</v>
      </c>
      <c r="Q206" s="19"/>
    </row>
    <row r="207" customFormat="false" ht="23.85" hidden="false" customHeight="false" outlineLevel="0" collapsed="false">
      <c r="A207" s="16" t="n">
        <f aca="false">ROW()-1</f>
        <v>206</v>
      </c>
      <c r="B207" s="17" t="s">
        <v>56</v>
      </c>
      <c r="C207" s="17" t="s">
        <v>117</v>
      </c>
      <c r="D207" s="17" t="s">
        <v>91</v>
      </c>
      <c r="E207" s="16" t="str">
        <f aca="false">IFERROR(INDEX(Lists!$B$2:$B$7,MATCH(B207,Lists!$A$2:$A$7,0))&amp;"-"&amp;INDEX(Series!$C$2:$C$30,MATCH(C207,Series!$B$2:$B$30,0))&amp;"-"&amp;INDEX(Part_Categories!$A$2:$A$18,MATCH(D207,Part_Categories!$B$2:$B$18,0))&amp;"-01","CHECK")</f>
        <v>KIR-KCX-PST-01</v>
      </c>
      <c r="F207" s="16" t="str">
        <f aca="false">E207&amp;".jpg"</f>
        <v>KIR-KCX-PST-01.jpg</v>
      </c>
      <c r="G207" s="18" t="str">
        <f aca="false">IFERROR(INDEX(Series!$F$2:$F$30,MATCH(C207,Series!$B$2:$B$30,0)),"")</f>
        <v>KCX 2, KCX 3, KCX 4, KCX 6</v>
      </c>
      <c r="H207" s="19"/>
      <c r="I207" s="19"/>
      <c r="J207" s="19"/>
      <c r="K207" s="19" t="s">
        <v>70</v>
      </c>
      <c r="L207" s="19"/>
      <c r="M207" s="19"/>
      <c r="N207" s="19"/>
      <c r="O207" s="18" t="str">
        <f aca="false">C207&amp;" "&amp;D207&amp;" spare part - Efforts Engineers"</f>
        <v>Kirloskar KCX Series Piston Assembly spare part - Efforts Engineers</v>
      </c>
      <c r="P207" s="16" t="str">
        <f aca="false">IFERROR("/"&amp;LOWER(B207)&amp;"/"&amp;INDEX(Series!$D$2:$D$30,MATCH(C207,Series!$B$2:$B$30,0))&amp;"/"&amp;INDEX(Part_Categories!$C$2:$C$18,MATCH(D207,Part_Categories!$B$2:$B$18,0)),"CHECK")</f>
        <v>/kirloskar/kcx/piston-assembly</v>
      </c>
      <c r="Q207" s="19"/>
    </row>
    <row r="208" customFormat="false" ht="23.85" hidden="false" customHeight="false" outlineLevel="0" collapsed="false">
      <c r="A208" s="16" t="n">
        <f aca="false">ROW()-1</f>
        <v>207</v>
      </c>
      <c r="B208" s="17" t="s">
        <v>56</v>
      </c>
      <c r="C208" s="17" t="s">
        <v>117</v>
      </c>
      <c r="D208" s="17" t="s">
        <v>92</v>
      </c>
      <c r="E208" s="16" t="str">
        <f aca="false">IFERROR(INDEX(Lists!$B$2:$B$7,MATCH(B208,Lists!$A$2:$A$7,0))&amp;"-"&amp;INDEX(Series!$C$2:$C$30,MATCH(C208,Series!$B$2:$B$30,0))&amp;"-"&amp;INDEX(Part_Categories!$A$2:$A$18,MATCH(D208,Part_Categories!$B$2:$B$18,0))&amp;"-01","CHECK")</f>
        <v>KIR-KCX-PRG-01</v>
      </c>
      <c r="F208" s="16" t="str">
        <f aca="false">E208&amp;".jpg"</f>
        <v>KIR-KCX-PRG-01.jpg</v>
      </c>
      <c r="G208" s="18" t="str">
        <f aca="false">IFERROR(INDEX(Series!$F$2:$F$30,MATCH(C208,Series!$B$2:$B$30,0)),"")</f>
        <v>KCX 2, KCX 3, KCX 4, KCX 6</v>
      </c>
      <c r="H208" s="19"/>
      <c r="I208" s="19"/>
      <c r="J208" s="19"/>
      <c r="K208" s="19" t="s">
        <v>70</v>
      </c>
      <c r="L208" s="19"/>
      <c r="M208" s="19"/>
      <c r="N208" s="19"/>
      <c r="O208" s="18" t="str">
        <f aca="false">C208&amp;" "&amp;D208&amp;" spare part - Efforts Engineers"</f>
        <v>Kirloskar KCX Series Piston Ring Set spare part - Efforts Engineers</v>
      </c>
      <c r="P208" s="16" t="str">
        <f aca="false">IFERROR("/"&amp;LOWER(B208)&amp;"/"&amp;INDEX(Series!$D$2:$D$30,MATCH(C208,Series!$B$2:$B$30,0))&amp;"/"&amp;INDEX(Part_Categories!$C$2:$C$18,MATCH(D208,Part_Categories!$B$2:$B$18,0)),"CHECK")</f>
        <v>/kirloskar/kcx/piston-ring-set</v>
      </c>
      <c r="Q208" s="19"/>
    </row>
    <row r="209" customFormat="false" ht="23.85" hidden="false" customHeight="false" outlineLevel="0" collapsed="false">
      <c r="A209" s="16" t="n">
        <f aca="false">ROW()-1</f>
        <v>208</v>
      </c>
      <c r="B209" s="17" t="s">
        <v>56</v>
      </c>
      <c r="C209" s="17" t="s">
        <v>117</v>
      </c>
      <c r="D209" s="17" t="s">
        <v>93</v>
      </c>
      <c r="E209" s="16" t="str">
        <f aca="false">IFERROR(INDEX(Lists!$B$2:$B$7,MATCH(B209,Lists!$A$2:$A$7,0))&amp;"-"&amp;INDEX(Series!$C$2:$C$30,MATCH(C209,Series!$B$2:$B$30,0))&amp;"-"&amp;INDEX(Part_Categories!$A$2:$A$18,MATCH(D209,Part_Categories!$B$2:$B$18,0))&amp;"-01","CHECK")</f>
        <v>KIR-KCX-CRD-01</v>
      </c>
      <c r="F209" s="16" t="str">
        <f aca="false">E209&amp;".jpg"</f>
        <v>KIR-KCX-CRD-01.jpg</v>
      </c>
      <c r="G209" s="18" t="str">
        <f aca="false">IFERROR(INDEX(Series!$F$2:$F$30,MATCH(C209,Series!$B$2:$B$30,0)),"")</f>
        <v>KCX 2, KCX 3, KCX 4, KCX 6</v>
      </c>
      <c r="H209" s="19"/>
      <c r="I209" s="19"/>
      <c r="J209" s="19"/>
      <c r="K209" s="19" t="s">
        <v>70</v>
      </c>
      <c r="L209" s="19"/>
      <c r="M209" s="19"/>
      <c r="N209" s="19"/>
      <c r="O209" s="18" t="str">
        <f aca="false">C209&amp;" "&amp;D209&amp;" spare part - Efforts Engineers"</f>
        <v>Kirloskar KCX Series Connecting Rod spare part - Efforts Engineers</v>
      </c>
      <c r="P209" s="16" t="str">
        <f aca="false">IFERROR("/"&amp;LOWER(B209)&amp;"/"&amp;INDEX(Series!$D$2:$D$30,MATCH(C209,Series!$B$2:$B$30,0))&amp;"/"&amp;INDEX(Part_Categories!$C$2:$C$18,MATCH(D209,Part_Categories!$B$2:$B$18,0)),"CHECK")</f>
        <v>/kirloskar/kcx/connecting-rod</v>
      </c>
      <c r="Q209" s="19"/>
    </row>
    <row r="210" customFormat="false" ht="23.85" hidden="false" customHeight="false" outlineLevel="0" collapsed="false">
      <c r="A210" s="16" t="n">
        <f aca="false">ROW()-1</f>
        <v>209</v>
      </c>
      <c r="B210" s="17" t="s">
        <v>56</v>
      </c>
      <c r="C210" s="17" t="s">
        <v>117</v>
      </c>
      <c r="D210" s="17" t="s">
        <v>94</v>
      </c>
      <c r="E210" s="16" t="str">
        <f aca="false">IFERROR(INDEX(Lists!$B$2:$B$7,MATCH(B210,Lists!$A$2:$A$7,0))&amp;"-"&amp;INDEX(Series!$C$2:$C$30,MATCH(C210,Series!$B$2:$B$30,0))&amp;"-"&amp;INDEX(Part_Categories!$A$2:$A$18,MATCH(D210,Part_Categories!$B$2:$B$18,0))&amp;"-01","CHECK")</f>
        <v>KIR-KCX-CRK-01</v>
      </c>
      <c r="F210" s="16" t="str">
        <f aca="false">E210&amp;".jpg"</f>
        <v>KIR-KCX-CRK-01.jpg</v>
      </c>
      <c r="G210" s="18" t="str">
        <f aca="false">IFERROR(INDEX(Series!$F$2:$F$30,MATCH(C210,Series!$B$2:$B$30,0)),"")</f>
        <v>KCX 2, KCX 3, KCX 4, KCX 6</v>
      </c>
      <c r="H210" s="19"/>
      <c r="I210" s="19"/>
      <c r="J210" s="19"/>
      <c r="K210" s="19" t="s">
        <v>70</v>
      </c>
      <c r="L210" s="19"/>
      <c r="M210" s="19"/>
      <c r="N210" s="19"/>
      <c r="O210" s="18" t="str">
        <f aca="false">C210&amp;" "&amp;D210&amp;" spare part - Efforts Engineers"</f>
        <v>Kirloskar KCX Series Crankshaft spare part - Efforts Engineers</v>
      </c>
      <c r="P210" s="16" t="str">
        <f aca="false">IFERROR("/"&amp;LOWER(B210)&amp;"/"&amp;INDEX(Series!$D$2:$D$30,MATCH(C210,Series!$B$2:$B$30,0))&amp;"/"&amp;INDEX(Part_Categories!$C$2:$C$18,MATCH(D210,Part_Categories!$B$2:$B$18,0)),"CHECK")</f>
        <v>/kirloskar/kcx/crankshaft</v>
      </c>
      <c r="Q210" s="19"/>
    </row>
    <row r="211" customFormat="false" ht="23.85" hidden="false" customHeight="false" outlineLevel="0" collapsed="false">
      <c r="A211" s="16" t="n">
        <f aca="false">ROW()-1</f>
        <v>210</v>
      </c>
      <c r="B211" s="17" t="s">
        <v>56</v>
      </c>
      <c r="C211" s="17" t="s">
        <v>117</v>
      </c>
      <c r="D211" s="17" t="s">
        <v>95</v>
      </c>
      <c r="E211" s="16" t="str">
        <f aca="false">IFERROR(INDEX(Lists!$B$2:$B$7,MATCH(B211,Lists!$A$2:$A$7,0))&amp;"-"&amp;INDEX(Series!$C$2:$C$30,MATCH(C211,Series!$B$2:$B$30,0))&amp;"-"&amp;INDEX(Part_Categories!$A$2:$A$18,MATCH(D211,Part_Categories!$B$2:$B$18,0))&amp;"-01","CHECK")</f>
        <v>KIR-KCX-PIN-01</v>
      </c>
      <c r="F211" s="16" t="str">
        <f aca="false">E211&amp;".jpg"</f>
        <v>KIR-KCX-PIN-01.jpg</v>
      </c>
      <c r="G211" s="18" t="str">
        <f aca="false">IFERROR(INDEX(Series!$F$2:$F$30,MATCH(C211,Series!$B$2:$B$30,0)),"")</f>
        <v>KCX 2, KCX 3, KCX 4, KCX 6</v>
      </c>
      <c r="H211" s="19"/>
      <c r="I211" s="19"/>
      <c r="J211" s="19"/>
      <c r="K211" s="19" t="s">
        <v>70</v>
      </c>
      <c r="L211" s="19"/>
      <c r="M211" s="19"/>
      <c r="N211" s="19"/>
      <c r="O211" s="18" t="str">
        <f aca="false">C211&amp;" "&amp;D211&amp;" spare part - Efforts Engineers"</f>
        <v>Kirloskar KCX Series Gudgeon Pin and Bush spare part - Efforts Engineers</v>
      </c>
      <c r="P211" s="16" t="str">
        <f aca="false">IFERROR("/"&amp;LOWER(B211)&amp;"/"&amp;INDEX(Series!$D$2:$D$30,MATCH(C211,Series!$B$2:$B$30,0))&amp;"/"&amp;INDEX(Part_Categories!$C$2:$C$18,MATCH(D211,Part_Categories!$B$2:$B$18,0)),"CHECK")</f>
        <v>/kirloskar/kcx/gudgeon-pin-and-bush</v>
      </c>
      <c r="Q211" s="19"/>
    </row>
    <row r="212" customFormat="false" ht="23.85" hidden="false" customHeight="false" outlineLevel="0" collapsed="false">
      <c r="A212" s="16" t="n">
        <f aca="false">ROW()-1</f>
        <v>211</v>
      </c>
      <c r="B212" s="17" t="s">
        <v>56</v>
      </c>
      <c r="C212" s="17" t="s">
        <v>117</v>
      </c>
      <c r="D212" s="17" t="s">
        <v>96</v>
      </c>
      <c r="E212" s="16" t="str">
        <f aca="false">IFERROR(INDEX(Lists!$B$2:$B$7,MATCH(B212,Lists!$A$2:$A$7,0))&amp;"-"&amp;INDEX(Series!$C$2:$C$30,MATCH(C212,Series!$B$2:$B$30,0))&amp;"-"&amp;INDEX(Part_Categories!$A$2:$A$18,MATCH(D212,Part_Categories!$B$2:$B$18,0))&amp;"-01","CHECK")</f>
        <v>KIR-KCX-BRG-01</v>
      </c>
      <c r="F212" s="16" t="str">
        <f aca="false">E212&amp;".jpg"</f>
        <v>KIR-KCX-BRG-01.jpg</v>
      </c>
      <c r="G212" s="18" t="str">
        <f aca="false">IFERROR(INDEX(Series!$F$2:$F$30,MATCH(C212,Series!$B$2:$B$30,0)),"")</f>
        <v>KCX 2, KCX 3, KCX 4, KCX 6</v>
      </c>
      <c r="H212" s="19"/>
      <c r="I212" s="19"/>
      <c r="J212" s="19"/>
      <c r="K212" s="19" t="s">
        <v>70</v>
      </c>
      <c r="L212" s="19"/>
      <c r="M212" s="19"/>
      <c r="N212" s="19"/>
      <c r="O212" s="18" t="str">
        <f aca="false">C212&amp;" "&amp;D212&amp;" spare part - Efforts Engineers"</f>
        <v>Kirloskar KCX Series Main Bearing and Bush spare part - Efforts Engineers</v>
      </c>
      <c r="P212" s="16" t="str">
        <f aca="false">IFERROR("/"&amp;LOWER(B212)&amp;"/"&amp;INDEX(Series!$D$2:$D$30,MATCH(C212,Series!$B$2:$B$30,0))&amp;"/"&amp;INDEX(Part_Categories!$C$2:$C$18,MATCH(D212,Part_Categories!$B$2:$B$18,0)),"CHECK")</f>
        <v>/kirloskar/kcx/main-bearing-and-bush</v>
      </c>
      <c r="Q212" s="19"/>
    </row>
    <row r="213" customFormat="false" ht="23.85" hidden="false" customHeight="false" outlineLevel="0" collapsed="false">
      <c r="A213" s="16" t="n">
        <f aca="false">ROW()-1</f>
        <v>212</v>
      </c>
      <c r="B213" s="17" t="s">
        <v>56</v>
      </c>
      <c r="C213" s="17" t="s">
        <v>117</v>
      </c>
      <c r="D213" s="17" t="s">
        <v>97</v>
      </c>
      <c r="E213" s="16" t="str">
        <f aca="false">IFERROR(INDEX(Lists!$B$2:$B$7,MATCH(B213,Lists!$A$2:$A$7,0))&amp;"-"&amp;INDEX(Series!$C$2:$C$30,MATCH(C213,Series!$B$2:$B$30,0))&amp;"-"&amp;INDEX(Part_Categories!$A$2:$A$18,MATCH(D213,Part_Categories!$B$2:$B$18,0))&amp;"-01","CHECK")</f>
        <v>KIR-KCX-SVP-01</v>
      </c>
      <c r="F213" s="16" t="str">
        <f aca="false">E213&amp;".jpg"</f>
        <v>KIR-KCX-SVP-01.jpg</v>
      </c>
      <c r="G213" s="18" t="str">
        <f aca="false">IFERROR(INDEX(Series!$F$2:$F$30,MATCH(C213,Series!$B$2:$B$30,0)),"")</f>
        <v>KCX 2, KCX 3, KCX 4, KCX 6</v>
      </c>
      <c r="H213" s="19"/>
      <c r="I213" s="19"/>
      <c r="J213" s="19"/>
      <c r="K213" s="19" t="s">
        <v>70</v>
      </c>
      <c r="L213" s="19"/>
      <c r="M213" s="19"/>
      <c r="N213" s="19"/>
      <c r="O213" s="18" t="str">
        <f aca="false">C213&amp;" "&amp;D213&amp;" spare part - Efforts Engineers"</f>
        <v>Kirloskar KCX Series Suction Valve Plate spare part - Efforts Engineers</v>
      </c>
      <c r="P213" s="16" t="str">
        <f aca="false">IFERROR("/"&amp;LOWER(B213)&amp;"/"&amp;INDEX(Series!$D$2:$D$30,MATCH(C213,Series!$B$2:$B$30,0))&amp;"/"&amp;INDEX(Part_Categories!$C$2:$C$18,MATCH(D213,Part_Categories!$B$2:$B$18,0)),"CHECK")</f>
        <v>/kirloskar/kcx/suction-valve-plate</v>
      </c>
      <c r="Q213" s="19"/>
    </row>
    <row r="214" customFormat="false" ht="23.85" hidden="false" customHeight="false" outlineLevel="0" collapsed="false">
      <c r="A214" s="16" t="n">
        <f aca="false">ROW()-1</f>
        <v>213</v>
      </c>
      <c r="B214" s="17" t="s">
        <v>56</v>
      </c>
      <c r="C214" s="17" t="s">
        <v>117</v>
      </c>
      <c r="D214" s="17" t="s">
        <v>98</v>
      </c>
      <c r="E214" s="16" t="str">
        <f aca="false">IFERROR(INDEX(Lists!$B$2:$B$7,MATCH(B214,Lists!$A$2:$A$7,0))&amp;"-"&amp;INDEX(Series!$C$2:$C$30,MATCH(C214,Series!$B$2:$B$30,0))&amp;"-"&amp;INDEX(Part_Categories!$A$2:$A$18,MATCH(D214,Part_Categories!$B$2:$B$18,0))&amp;"-01","CHECK")</f>
        <v>KIR-KCX-DVA-01</v>
      </c>
      <c r="F214" s="16" t="str">
        <f aca="false">E214&amp;".jpg"</f>
        <v>KIR-KCX-DVA-01.jpg</v>
      </c>
      <c r="G214" s="18" t="str">
        <f aca="false">IFERROR(INDEX(Series!$F$2:$F$30,MATCH(C214,Series!$B$2:$B$30,0)),"")</f>
        <v>KCX 2, KCX 3, KCX 4, KCX 6</v>
      </c>
      <c r="H214" s="19"/>
      <c r="I214" s="19"/>
      <c r="J214" s="19"/>
      <c r="K214" s="19" t="s">
        <v>70</v>
      </c>
      <c r="L214" s="19"/>
      <c r="M214" s="19"/>
      <c r="N214" s="19"/>
      <c r="O214" s="18" t="str">
        <f aca="false">C214&amp;" "&amp;D214&amp;" spare part - Efforts Engineers"</f>
        <v>Kirloskar KCX Series Discharge Valve Assembly spare part - Efforts Engineers</v>
      </c>
      <c r="P214" s="16" t="str">
        <f aca="false">IFERROR("/"&amp;LOWER(B214)&amp;"/"&amp;INDEX(Series!$D$2:$D$30,MATCH(C214,Series!$B$2:$B$30,0))&amp;"/"&amp;INDEX(Part_Categories!$C$2:$C$18,MATCH(D214,Part_Categories!$B$2:$B$18,0)),"CHECK")</f>
        <v>/kirloskar/kcx/discharge-valve-assembly</v>
      </c>
      <c r="Q214" s="19"/>
    </row>
    <row r="215" customFormat="false" ht="23.85" hidden="false" customHeight="false" outlineLevel="0" collapsed="false">
      <c r="A215" s="16" t="n">
        <f aca="false">ROW()-1</f>
        <v>214</v>
      </c>
      <c r="B215" s="17" t="s">
        <v>56</v>
      </c>
      <c r="C215" s="17" t="s">
        <v>117</v>
      </c>
      <c r="D215" s="17" t="s">
        <v>99</v>
      </c>
      <c r="E215" s="16" t="str">
        <f aca="false">IFERROR(INDEX(Lists!$B$2:$B$7,MATCH(B215,Lists!$A$2:$A$7,0))&amp;"-"&amp;INDEX(Series!$C$2:$C$30,MATCH(C215,Series!$B$2:$B$30,0))&amp;"-"&amp;INDEX(Part_Categories!$A$2:$A$18,MATCH(D215,Part_Categories!$B$2:$B$18,0))&amp;"-01","CHECK")</f>
        <v>KIR-KCX-VSP-01</v>
      </c>
      <c r="F215" s="16" t="str">
        <f aca="false">E215&amp;".jpg"</f>
        <v>KIR-KCX-VSP-01.jpg</v>
      </c>
      <c r="G215" s="18" t="str">
        <f aca="false">IFERROR(INDEX(Series!$F$2:$F$30,MATCH(C215,Series!$B$2:$B$30,0)),"")</f>
        <v>KCX 2, KCX 3, KCX 4, KCX 6</v>
      </c>
      <c r="H215" s="19"/>
      <c r="I215" s="19"/>
      <c r="J215" s="19"/>
      <c r="K215" s="19" t="s">
        <v>70</v>
      </c>
      <c r="L215" s="19"/>
      <c r="M215" s="19"/>
      <c r="N215" s="19"/>
      <c r="O215" s="18" t="str">
        <f aca="false">C215&amp;" "&amp;D215&amp;" spare part - Efforts Engineers"</f>
        <v>Kirloskar KCX Series Valve Spring and Cage spare part - Efforts Engineers</v>
      </c>
      <c r="P215" s="16" t="str">
        <f aca="false">IFERROR("/"&amp;LOWER(B215)&amp;"/"&amp;INDEX(Series!$D$2:$D$30,MATCH(C215,Series!$B$2:$B$30,0))&amp;"/"&amp;INDEX(Part_Categories!$C$2:$C$18,MATCH(D215,Part_Categories!$B$2:$B$18,0)),"CHECK")</f>
        <v>/kirloskar/kcx/valve-spring-and-cage</v>
      </c>
      <c r="Q215" s="19"/>
    </row>
    <row r="216" customFormat="false" ht="23.85" hidden="false" customHeight="false" outlineLevel="0" collapsed="false">
      <c r="A216" s="16" t="n">
        <f aca="false">ROW()-1</f>
        <v>215</v>
      </c>
      <c r="B216" s="17" t="s">
        <v>56</v>
      </c>
      <c r="C216" s="17" t="s">
        <v>117</v>
      </c>
      <c r="D216" s="17" t="s">
        <v>100</v>
      </c>
      <c r="E216" s="16" t="str">
        <f aca="false">IFERROR(INDEX(Lists!$B$2:$B$7,MATCH(B216,Lists!$A$2:$A$7,0))&amp;"-"&amp;INDEX(Series!$C$2:$C$30,MATCH(C216,Series!$B$2:$B$30,0))&amp;"-"&amp;INDEX(Part_Categories!$A$2:$A$18,MATCH(D216,Part_Categories!$B$2:$B$18,0))&amp;"-01","CHECK")</f>
        <v>KIR-KCX-HDC-01</v>
      </c>
      <c r="F216" s="16" t="str">
        <f aca="false">E216&amp;".jpg"</f>
        <v>KIR-KCX-HDC-01.jpg</v>
      </c>
      <c r="G216" s="18" t="str">
        <f aca="false">IFERROR(INDEX(Series!$F$2:$F$30,MATCH(C216,Series!$B$2:$B$30,0)),"")</f>
        <v>KCX 2, KCX 3, KCX 4, KCX 6</v>
      </c>
      <c r="H216" s="19"/>
      <c r="I216" s="19"/>
      <c r="J216" s="19"/>
      <c r="K216" s="19" t="s">
        <v>70</v>
      </c>
      <c r="L216" s="19"/>
      <c r="M216" s="19"/>
      <c r="N216" s="19"/>
      <c r="O216" s="18" t="str">
        <f aca="false">C216&amp;" "&amp;D216&amp;" spare part - Efforts Engineers"</f>
        <v>Kirloskar KCX Series Cylinder Head Cover spare part - Efforts Engineers</v>
      </c>
      <c r="P216" s="16" t="str">
        <f aca="false">IFERROR("/"&amp;LOWER(B216)&amp;"/"&amp;INDEX(Series!$D$2:$D$30,MATCH(C216,Series!$B$2:$B$30,0))&amp;"/"&amp;INDEX(Part_Categories!$C$2:$C$18,MATCH(D216,Part_Categories!$B$2:$B$18,0)),"CHECK")</f>
        <v>/kirloskar/kcx/cylinder-head-cover</v>
      </c>
      <c r="Q216" s="19"/>
    </row>
    <row r="217" customFormat="false" ht="23.85" hidden="false" customHeight="false" outlineLevel="0" collapsed="false">
      <c r="A217" s="16" t="n">
        <f aca="false">ROW()-1</f>
        <v>216</v>
      </c>
      <c r="B217" s="17" t="s">
        <v>56</v>
      </c>
      <c r="C217" s="17" t="s">
        <v>117</v>
      </c>
      <c r="D217" s="17" t="s">
        <v>101</v>
      </c>
      <c r="E217" s="16" t="str">
        <f aca="false">IFERROR(INDEX(Lists!$B$2:$B$7,MATCH(B217,Lists!$A$2:$A$7,0))&amp;"-"&amp;INDEX(Series!$C$2:$C$30,MATCH(C217,Series!$B$2:$B$30,0))&amp;"-"&amp;INDEX(Part_Categories!$A$2:$A$18,MATCH(D217,Part_Categories!$B$2:$B$18,0))&amp;"-01","CHECK")</f>
        <v>KIR-KCX-GSK-01</v>
      </c>
      <c r="F217" s="16" t="str">
        <f aca="false">E217&amp;".jpg"</f>
        <v>KIR-KCX-GSK-01.jpg</v>
      </c>
      <c r="G217" s="18" t="str">
        <f aca="false">IFERROR(INDEX(Series!$F$2:$F$30,MATCH(C217,Series!$B$2:$B$30,0)),"")</f>
        <v>KCX 2, KCX 3, KCX 4, KCX 6</v>
      </c>
      <c r="H217" s="19"/>
      <c r="I217" s="19"/>
      <c r="J217" s="19"/>
      <c r="K217" s="19" t="s">
        <v>70</v>
      </c>
      <c r="L217" s="19"/>
      <c r="M217" s="19"/>
      <c r="N217" s="19"/>
      <c r="O217" s="18" t="str">
        <f aca="false">C217&amp;" "&amp;D217&amp;" spare part - Efforts Engineers"</f>
        <v>Kirloskar KCX Series Gasket and Overhaul Kit spare part - Efforts Engineers</v>
      </c>
      <c r="P217" s="16" t="str">
        <f aca="false">IFERROR("/"&amp;LOWER(B217)&amp;"/"&amp;INDEX(Series!$D$2:$D$30,MATCH(C217,Series!$B$2:$B$30,0))&amp;"/"&amp;INDEX(Part_Categories!$C$2:$C$18,MATCH(D217,Part_Categories!$B$2:$B$18,0)),"CHECK")</f>
        <v>/kirloskar/kcx/gasket-and-overhaul-kit</v>
      </c>
      <c r="Q217" s="19"/>
    </row>
    <row r="218" customFormat="false" ht="23.85" hidden="false" customHeight="false" outlineLevel="0" collapsed="false">
      <c r="A218" s="16" t="n">
        <f aca="false">ROW()-1</f>
        <v>217</v>
      </c>
      <c r="B218" s="17" t="s">
        <v>56</v>
      </c>
      <c r="C218" s="17" t="s">
        <v>117</v>
      </c>
      <c r="D218" s="17" t="s">
        <v>102</v>
      </c>
      <c r="E218" s="16" t="str">
        <f aca="false">IFERROR(INDEX(Lists!$B$2:$B$7,MATCH(B218,Lists!$A$2:$A$7,0))&amp;"-"&amp;INDEX(Series!$C$2:$C$30,MATCH(C218,Series!$B$2:$B$30,0))&amp;"-"&amp;INDEX(Part_Categories!$A$2:$A$18,MATCH(D218,Part_Categories!$B$2:$B$18,0))&amp;"-01","CHECK")</f>
        <v>KIR-KCX-OPA-01</v>
      </c>
      <c r="F218" s="16" t="str">
        <f aca="false">E218&amp;".jpg"</f>
        <v>KIR-KCX-OPA-01.jpg</v>
      </c>
      <c r="G218" s="18" t="str">
        <f aca="false">IFERROR(INDEX(Series!$F$2:$F$30,MATCH(C218,Series!$B$2:$B$30,0)),"")</f>
        <v>KCX 2, KCX 3, KCX 4, KCX 6</v>
      </c>
      <c r="H218" s="19"/>
      <c r="I218" s="19"/>
      <c r="J218" s="19"/>
      <c r="K218" s="19" t="s">
        <v>70</v>
      </c>
      <c r="L218" s="19"/>
      <c r="M218" s="19"/>
      <c r="N218" s="19"/>
      <c r="O218" s="18" t="str">
        <f aca="false">C218&amp;" "&amp;D218&amp;" spare part - Efforts Engineers"</f>
        <v>Kirloskar KCX Series Oil Pump Assembly spare part - Efforts Engineers</v>
      </c>
      <c r="P218" s="16" t="str">
        <f aca="false">IFERROR("/"&amp;LOWER(B218)&amp;"/"&amp;INDEX(Series!$D$2:$D$30,MATCH(C218,Series!$B$2:$B$30,0))&amp;"/"&amp;INDEX(Part_Categories!$C$2:$C$18,MATCH(D218,Part_Categories!$B$2:$B$18,0)),"CHECK")</f>
        <v>/kirloskar/kcx/oil-pump-assembly</v>
      </c>
      <c r="Q218" s="19"/>
    </row>
    <row r="219" customFormat="false" ht="23.85" hidden="false" customHeight="false" outlineLevel="0" collapsed="false">
      <c r="A219" s="16" t="n">
        <f aca="false">ROW()-1</f>
        <v>218</v>
      </c>
      <c r="B219" s="17" t="s">
        <v>56</v>
      </c>
      <c r="C219" s="17" t="s">
        <v>117</v>
      </c>
      <c r="D219" s="17" t="s">
        <v>103</v>
      </c>
      <c r="E219" s="16" t="str">
        <f aca="false">IFERROR(INDEX(Lists!$B$2:$B$7,MATCH(B219,Lists!$A$2:$A$7,0))&amp;"-"&amp;INDEX(Series!$C$2:$C$30,MATCH(C219,Series!$B$2:$B$30,0))&amp;"-"&amp;INDEX(Part_Categories!$A$2:$A$18,MATCH(D219,Part_Categories!$B$2:$B$18,0))&amp;"-01","CHECK")</f>
        <v>KIR-KCX-SHS-01</v>
      </c>
      <c r="F219" s="16" t="str">
        <f aca="false">E219&amp;".jpg"</f>
        <v>KIR-KCX-SHS-01.jpg</v>
      </c>
      <c r="G219" s="18" t="str">
        <f aca="false">IFERROR(INDEX(Series!$F$2:$F$30,MATCH(C219,Series!$B$2:$B$30,0)),"")</f>
        <v>KCX 2, KCX 3, KCX 4, KCX 6</v>
      </c>
      <c r="H219" s="19"/>
      <c r="I219" s="19"/>
      <c r="J219" s="19"/>
      <c r="K219" s="19" t="s">
        <v>70</v>
      </c>
      <c r="L219" s="19"/>
      <c r="M219" s="19"/>
      <c r="N219" s="19"/>
      <c r="O219" s="18" t="str">
        <f aca="false">C219&amp;" "&amp;D219&amp;" spare part - Efforts Engineers"</f>
        <v>Kirloskar KCX Series Shaft Seal spare part - Efforts Engineers</v>
      </c>
      <c r="P219" s="16" t="str">
        <f aca="false">IFERROR("/"&amp;LOWER(B219)&amp;"/"&amp;INDEX(Series!$D$2:$D$30,MATCH(C219,Series!$B$2:$B$30,0))&amp;"/"&amp;INDEX(Part_Categories!$C$2:$C$18,MATCH(D219,Part_Categories!$B$2:$B$18,0)),"CHECK")</f>
        <v>/kirloskar/kcx/shaft-seal</v>
      </c>
      <c r="Q219" s="19"/>
    </row>
    <row r="220" customFormat="false" ht="23.85" hidden="false" customHeight="false" outlineLevel="0" collapsed="false">
      <c r="A220" s="16" t="n">
        <f aca="false">ROW()-1</f>
        <v>219</v>
      </c>
      <c r="B220" s="17" t="s">
        <v>56</v>
      </c>
      <c r="C220" s="17" t="s">
        <v>117</v>
      </c>
      <c r="D220" s="17" t="s">
        <v>104</v>
      </c>
      <c r="E220" s="16" t="str">
        <f aca="false">IFERROR(INDEX(Lists!$B$2:$B$7,MATCH(B220,Lists!$A$2:$A$7,0))&amp;"-"&amp;INDEX(Series!$C$2:$C$30,MATCH(C220,Series!$B$2:$B$30,0))&amp;"-"&amp;INDEX(Part_Categories!$A$2:$A$18,MATCH(D220,Part_Categories!$B$2:$B$18,0))&amp;"-01","CHECK")</f>
        <v>KIR-KCX-FLT-01</v>
      </c>
      <c r="F220" s="16" t="str">
        <f aca="false">E220&amp;".jpg"</f>
        <v>KIR-KCX-FLT-01.jpg</v>
      </c>
      <c r="G220" s="18" t="str">
        <f aca="false">IFERROR(INDEX(Series!$F$2:$F$30,MATCH(C220,Series!$B$2:$B$30,0)),"")</f>
        <v>KCX 2, KCX 3, KCX 4, KCX 6</v>
      </c>
      <c r="H220" s="19"/>
      <c r="I220" s="19"/>
      <c r="J220" s="19"/>
      <c r="K220" s="19" t="s">
        <v>70</v>
      </c>
      <c r="L220" s="19"/>
      <c r="M220" s="19"/>
      <c r="N220" s="19"/>
      <c r="O220" s="18" t="str">
        <f aca="false">C220&amp;" "&amp;D220&amp;" spare part - Efforts Engineers"</f>
        <v>Kirloskar KCX Series Oil Filter and Strainer spare part - Efforts Engineers</v>
      </c>
      <c r="P220" s="16" t="str">
        <f aca="false">IFERROR("/"&amp;LOWER(B220)&amp;"/"&amp;INDEX(Series!$D$2:$D$30,MATCH(C220,Series!$B$2:$B$30,0))&amp;"/"&amp;INDEX(Part_Categories!$C$2:$C$18,MATCH(D220,Part_Categories!$B$2:$B$18,0)),"CHECK")</f>
        <v>/kirloskar/kcx/oil-filter-and-strainer</v>
      </c>
      <c r="Q220" s="19"/>
    </row>
    <row r="221" customFormat="false" ht="23.85" hidden="false" customHeight="false" outlineLevel="0" collapsed="false">
      <c r="A221" s="16" t="n">
        <f aca="false">ROW()-1</f>
        <v>220</v>
      </c>
      <c r="B221" s="17" t="s">
        <v>56</v>
      </c>
      <c r="C221" s="17" t="s">
        <v>117</v>
      </c>
      <c r="D221" s="17" t="s">
        <v>105</v>
      </c>
      <c r="E221" s="16" t="str">
        <f aca="false">IFERROR(INDEX(Lists!$B$2:$B$7,MATCH(B221,Lists!$A$2:$A$7,0))&amp;"-"&amp;INDEX(Series!$C$2:$C$30,MATCH(C221,Series!$B$2:$B$30,0))&amp;"-"&amp;INDEX(Part_Categories!$A$2:$A$18,MATCH(D221,Part_Categories!$B$2:$B$18,0))&amp;"-01","CHECK")</f>
        <v>KIR-KCX-ULD-01</v>
      </c>
      <c r="F221" s="16" t="str">
        <f aca="false">E221&amp;".jpg"</f>
        <v>KIR-KCX-ULD-01.jpg</v>
      </c>
      <c r="G221" s="18" t="str">
        <f aca="false">IFERROR(INDEX(Series!$F$2:$F$30,MATCH(C221,Series!$B$2:$B$30,0)),"")</f>
        <v>KCX 2, KCX 3, KCX 4, KCX 6</v>
      </c>
      <c r="H221" s="19"/>
      <c r="I221" s="19"/>
      <c r="J221" s="19"/>
      <c r="K221" s="19" t="s">
        <v>70</v>
      </c>
      <c r="L221" s="19"/>
      <c r="M221" s="19"/>
      <c r="N221" s="19"/>
      <c r="O221" s="18" t="str">
        <f aca="false">C221&amp;" "&amp;D221&amp;" spare part - Efforts Engineers"</f>
        <v>Kirloskar KCX Series Unloader and Capacity Control spare part - Efforts Engineers</v>
      </c>
      <c r="P221" s="16" t="str">
        <f aca="false">IFERROR("/"&amp;LOWER(B221)&amp;"/"&amp;INDEX(Series!$D$2:$D$30,MATCH(C221,Series!$B$2:$B$30,0))&amp;"/"&amp;INDEX(Part_Categories!$C$2:$C$18,MATCH(D221,Part_Categories!$B$2:$B$18,0)),"CHECK")</f>
        <v>/kirloskar/kcx/unloader-and-capacity-control</v>
      </c>
      <c r="Q221" s="19"/>
    </row>
    <row r="222" customFormat="false" ht="23.85" hidden="false" customHeight="false" outlineLevel="0" collapsed="false">
      <c r="A222" s="16" t="n">
        <f aca="false">ROW()-1</f>
        <v>221</v>
      </c>
      <c r="B222" s="17" t="s">
        <v>56</v>
      </c>
      <c r="C222" s="17" t="s">
        <v>117</v>
      </c>
      <c r="D222" s="17" t="s">
        <v>106</v>
      </c>
      <c r="E222" s="16" t="str">
        <f aca="false">IFERROR(INDEX(Lists!$B$2:$B$7,MATCH(B222,Lists!$A$2:$A$7,0))&amp;"-"&amp;INDEX(Series!$C$2:$C$30,MATCH(C222,Series!$B$2:$B$30,0))&amp;"-"&amp;INDEX(Part_Categories!$A$2:$A$18,MATCH(D222,Part_Categories!$B$2:$B$18,0))&amp;"-01","CHECK")</f>
        <v>KIR-KCX-SAF-01</v>
      </c>
      <c r="F222" s="16" t="str">
        <f aca="false">E222&amp;".jpg"</f>
        <v>KIR-KCX-SAF-01.jpg</v>
      </c>
      <c r="G222" s="18" t="str">
        <f aca="false">IFERROR(INDEX(Series!$F$2:$F$30,MATCH(C222,Series!$B$2:$B$30,0)),"")</f>
        <v>KCX 2, KCX 3, KCX 4, KCX 6</v>
      </c>
      <c r="H222" s="19"/>
      <c r="I222" s="19"/>
      <c r="J222" s="19"/>
      <c r="K222" s="19" t="s">
        <v>70</v>
      </c>
      <c r="L222" s="19"/>
      <c r="M222" s="19"/>
      <c r="N222" s="19"/>
      <c r="O222" s="18" t="str">
        <f aca="false">C222&amp;" "&amp;D222&amp;" spare part - Efforts Engineers"</f>
        <v>Kirloskar KCX Series Safety Head and Relief Valve spare part - Efforts Engineers</v>
      </c>
      <c r="P222" s="16" t="str">
        <f aca="false">IFERROR("/"&amp;LOWER(B222)&amp;"/"&amp;INDEX(Series!$D$2:$D$30,MATCH(C222,Series!$B$2:$B$30,0))&amp;"/"&amp;INDEX(Part_Categories!$C$2:$C$18,MATCH(D222,Part_Categories!$B$2:$B$18,0)),"CHECK")</f>
        <v>/kirloskar/kcx/safety-head-and-relief-valve</v>
      </c>
      <c r="Q222" s="19"/>
    </row>
    <row r="223" customFormat="false" ht="23.85" hidden="false" customHeight="false" outlineLevel="0" collapsed="false">
      <c r="A223" s="16" t="n">
        <f aca="false">ROW()-1</f>
        <v>222</v>
      </c>
      <c r="B223" s="17" t="s">
        <v>56</v>
      </c>
      <c r="C223" s="17" t="s">
        <v>118</v>
      </c>
      <c r="D223" s="17" t="s">
        <v>58</v>
      </c>
      <c r="E223" s="16" t="str">
        <f aca="false">IFERROR(INDEX(Lists!$B$2:$B$7,MATCH(B223,Lists!$A$2:$A$7,0))&amp;"-"&amp;INDEX(Series!$C$2:$C$30,MATCH(C223,Series!$B$2:$B$30,0))&amp;"-"&amp;INDEX(Part_Categories!$A$2:$A$18,MATCH(D223,Part_Categories!$B$2:$B$18,0))&amp;"-01","CHECK")</f>
        <v>KIR-PC-CLN-01</v>
      </c>
      <c r="F223" s="16" t="str">
        <f aca="false">E223&amp;".jpg"</f>
        <v>KIR-PC-CLN-01.jpg</v>
      </c>
      <c r="G223" s="18" t="str">
        <f aca="false">IFERROR(INDEX(Series!$F$2:$F$30,MATCH(C223,Series!$B$2:$B$30,0)),"")</f>
        <v>PC 2, PC (other sizes to add)</v>
      </c>
      <c r="H223" s="19"/>
      <c r="I223" s="19"/>
      <c r="J223" s="19"/>
      <c r="K223" s="19" t="s">
        <v>70</v>
      </c>
      <c r="L223" s="19"/>
      <c r="M223" s="19"/>
      <c r="N223" s="19"/>
      <c r="O223" s="18" t="str">
        <f aca="false">C223&amp;" "&amp;D223&amp;" spare part - Efforts Engineers"</f>
        <v>Kirloskar PC Series Cylinder Liner spare part - Efforts Engineers</v>
      </c>
      <c r="P223" s="16" t="str">
        <f aca="false">IFERROR("/"&amp;LOWER(B223)&amp;"/"&amp;INDEX(Series!$D$2:$D$30,MATCH(C223,Series!$B$2:$B$30,0))&amp;"/"&amp;INDEX(Part_Categories!$C$2:$C$18,MATCH(D223,Part_Categories!$B$2:$B$18,0)),"CHECK")</f>
        <v>/kirloskar/pc/cylinder-liner</v>
      </c>
      <c r="Q223" s="19"/>
    </row>
    <row r="224" customFormat="false" ht="23.85" hidden="false" customHeight="false" outlineLevel="0" collapsed="false">
      <c r="A224" s="16" t="n">
        <f aca="false">ROW()-1</f>
        <v>223</v>
      </c>
      <c r="B224" s="17" t="s">
        <v>56</v>
      </c>
      <c r="C224" s="17" t="s">
        <v>118</v>
      </c>
      <c r="D224" s="17" t="s">
        <v>91</v>
      </c>
      <c r="E224" s="16" t="str">
        <f aca="false">IFERROR(INDEX(Lists!$B$2:$B$7,MATCH(B224,Lists!$A$2:$A$7,0))&amp;"-"&amp;INDEX(Series!$C$2:$C$30,MATCH(C224,Series!$B$2:$B$30,0))&amp;"-"&amp;INDEX(Part_Categories!$A$2:$A$18,MATCH(D224,Part_Categories!$B$2:$B$18,0))&amp;"-01","CHECK")</f>
        <v>KIR-PC-PST-01</v>
      </c>
      <c r="F224" s="16" t="str">
        <f aca="false">E224&amp;".jpg"</f>
        <v>KIR-PC-PST-01.jpg</v>
      </c>
      <c r="G224" s="18" t="str">
        <f aca="false">IFERROR(INDEX(Series!$F$2:$F$30,MATCH(C224,Series!$B$2:$B$30,0)),"")</f>
        <v>PC 2, PC (other sizes to add)</v>
      </c>
      <c r="H224" s="19"/>
      <c r="I224" s="19"/>
      <c r="J224" s="19"/>
      <c r="K224" s="19" t="s">
        <v>70</v>
      </c>
      <c r="L224" s="19"/>
      <c r="M224" s="19"/>
      <c r="N224" s="19"/>
      <c r="O224" s="18" t="str">
        <f aca="false">C224&amp;" "&amp;D224&amp;" spare part - Efforts Engineers"</f>
        <v>Kirloskar PC Series Piston Assembly spare part - Efforts Engineers</v>
      </c>
      <c r="P224" s="16" t="str">
        <f aca="false">IFERROR("/"&amp;LOWER(B224)&amp;"/"&amp;INDEX(Series!$D$2:$D$30,MATCH(C224,Series!$B$2:$B$30,0))&amp;"/"&amp;INDEX(Part_Categories!$C$2:$C$18,MATCH(D224,Part_Categories!$B$2:$B$18,0)),"CHECK")</f>
        <v>/kirloskar/pc/piston-assembly</v>
      </c>
      <c r="Q224" s="19"/>
    </row>
    <row r="225" customFormat="false" ht="23.85" hidden="false" customHeight="false" outlineLevel="0" collapsed="false">
      <c r="A225" s="16" t="n">
        <f aca="false">ROW()-1</f>
        <v>224</v>
      </c>
      <c r="B225" s="17" t="s">
        <v>56</v>
      </c>
      <c r="C225" s="17" t="s">
        <v>118</v>
      </c>
      <c r="D225" s="17" t="s">
        <v>92</v>
      </c>
      <c r="E225" s="16" t="str">
        <f aca="false">IFERROR(INDEX(Lists!$B$2:$B$7,MATCH(B225,Lists!$A$2:$A$7,0))&amp;"-"&amp;INDEX(Series!$C$2:$C$30,MATCH(C225,Series!$B$2:$B$30,0))&amp;"-"&amp;INDEX(Part_Categories!$A$2:$A$18,MATCH(D225,Part_Categories!$B$2:$B$18,0))&amp;"-01","CHECK")</f>
        <v>KIR-PC-PRG-01</v>
      </c>
      <c r="F225" s="16" t="str">
        <f aca="false">E225&amp;".jpg"</f>
        <v>KIR-PC-PRG-01.jpg</v>
      </c>
      <c r="G225" s="18" t="str">
        <f aca="false">IFERROR(INDEX(Series!$F$2:$F$30,MATCH(C225,Series!$B$2:$B$30,0)),"")</f>
        <v>PC 2, PC (other sizes to add)</v>
      </c>
      <c r="H225" s="19"/>
      <c r="I225" s="19"/>
      <c r="J225" s="19"/>
      <c r="K225" s="19" t="s">
        <v>70</v>
      </c>
      <c r="L225" s="19"/>
      <c r="M225" s="19"/>
      <c r="N225" s="19"/>
      <c r="O225" s="18" t="str">
        <f aca="false">C225&amp;" "&amp;D225&amp;" spare part - Efforts Engineers"</f>
        <v>Kirloskar PC Series Piston Ring Set spare part - Efforts Engineers</v>
      </c>
      <c r="P225" s="16" t="str">
        <f aca="false">IFERROR("/"&amp;LOWER(B225)&amp;"/"&amp;INDEX(Series!$D$2:$D$30,MATCH(C225,Series!$B$2:$B$30,0))&amp;"/"&amp;INDEX(Part_Categories!$C$2:$C$18,MATCH(D225,Part_Categories!$B$2:$B$18,0)),"CHECK")</f>
        <v>/kirloskar/pc/piston-ring-set</v>
      </c>
      <c r="Q225" s="19"/>
    </row>
    <row r="226" customFormat="false" ht="23.85" hidden="false" customHeight="false" outlineLevel="0" collapsed="false">
      <c r="A226" s="16" t="n">
        <f aca="false">ROW()-1</f>
        <v>225</v>
      </c>
      <c r="B226" s="17" t="s">
        <v>56</v>
      </c>
      <c r="C226" s="17" t="s">
        <v>118</v>
      </c>
      <c r="D226" s="17" t="s">
        <v>93</v>
      </c>
      <c r="E226" s="16" t="str">
        <f aca="false">IFERROR(INDEX(Lists!$B$2:$B$7,MATCH(B226,Lists!$A$2:$A$7,0))&amp;"-"&amp;INDEX(Series!$C$2:$C$30,MATCH(C226,Series!$B$2:$B$30,0))&amp;"-"&amp;INDEX(Part_Categories!$A$2:$A$18,MATCH(D226,Part_Categories!$B$2:$B$18,0))&amp;"-01","CHECK")</f>
        <v>KIR-PC-CRD-01</v>
      </c>
      <c r="F226" s="16" t="str">
        <f aca="false">E226&amp;".jpg"</f>
        <v>KIR-PC-CRD-01.jpg</v>
      </c>
      <c r="G226" s="18" t="str">
        <f aca="false">IFERROR(INDEX(Series!$F$2:$F$30,MATCH(C226,Series!$B$2:$B$30,0)),"")</f>
        <v>PC 2, PC (other sizes to add)</v>
      </c>
      <c r="H226" s="19"/>
      <c r="I226" s="19"/>
      <c r="J226" s="19"/>
      <c r="K226" s="19" t="s">
        <v>70</v>
      </c>
      <c r="L226" s="19"/>
      <c r="M226" s="19"/>
      <c r="N226" s="19"/>
      <c r="O226" s="18" t="str">
        <f aca="false">C226&amp;" "&amp;D226&amp;" spare part - Efforts Engineers"</f>
        <v>Kirloskar PC Series Connecting Rod spare part - Efforts Engineers</v>
      </c>
      <c r="P226" s="16" t="str">
        <f aca="false">IFERROR("/"&amp;LOWER(B226)&amp;"/"&amp;INDEX(Series!$D$2:$D$30,MATCH(C226,Series!$B$2:$B$30,0))&amp;"/"&amp;INDEX(Part_Categories!$C$2:$C$18,MATCH(D226,Part_Categories!$B$2:$B$18,0)),"CHECK")</f>
        <v>/kirloskar/pc/connecting-rod</v>
      </c>
      <c r="Q226" s="19"/>
    </row>
    <row r="227" customFormat="false" ht="23.85" hidden="false" customHeight="false" outlineLevel="0" collapsed="false">
      <c r="A227" s="16" t="n">
        <f aca="false">ROW()-1</f>
        <v>226</v>
      </c>
      <c r="B227" s="17" t="s">
        <v>56</v>
      </c>
      <c r="C227" s="17" t="s">
        <v>118</v>
      </c>
      <c r="D227" s="17" t="s">
        <v>94</v>
      </c>
      <c r="E227" s="16" t="str">
        <f aca="false">IFERROR(INDEX(Lists!$B$2:$B$7,MATCH(B227,Lists!$A$2:$A$7,0))&amp;"-"&amp;INDEX(Series!$C$2:$C$30,MATCH(C227,Series!$B$2:$B$30,0))&amp;"-"&amp;INDEX(Part_Categories!$A$2:$A$18,MATCH(D227,Part_Categories!$B$2:$B$18,0))&amp;"-01","CHECK")</f>
        <v>KIR-PC-CRK-01</v>
      </c>
      <c r="F227" s="16" t="str">
        <f aca="false">E227&amp;".jpg"</f>
        <v>KIR-PC-CRK-01.jpg</v>
      </c>
      <c r="G227" s="18" t="str">
        <f aca="false">IFERROR(INDEX(Series!$F$2:$F$30,MATCH(C227,Series!$B$2:$B$30,0)),"")</f>
        <v>PC 2, PC (other sizes to add)</v>
      </c>
      <c r="H227" s="19"/>
      <c r="I227" s="19"/>
      <c r="J227" s="19"/>
      <c r="K227" s="19" t="s">
        <v>70</v>
      </c>
      <c r="L227" s="19"/>
      <c r="M227" s="19"/>
      <c r="N227" s="19"/>
      <c r="O227" s="18" t="str">
        <f aca="false">C227&amp;" "&amp;D227&amp;" spare part - Efforts Engineers"</f>
        <v>Kirloskar PC Series Crankshaft spare part - Efforts Engineers</v>
      </c>
      <c r="P227" s="16" t="str">
        <f aca="false">IFERROR("/"&amp;LOWER(B227)&amp;"/"&amp;INDEX(Series!$D$2:$D$30,MATCH(C227,Series!$B$2:$B$30,0))&amp;"/"&amp;INDEX(Part_Categories!$C$2:$C$18,MATCH(D227,Part_Categories!$B$2:$B$18,0)),"CHECK")</f>
        <v>/kirloskar/pc/crankshaft</v>
      </c>
      <c r="Q227" s="19"/>
    </row>
    <row r="228" customFormat="false" ht="23.85" hidden="false" customHeight="false" outlineLevel="0" collapsed="false">
      <c r="A228" s="16" t="n">
        <f aca="false">ROW()-1</f>
        <v>227</v>
      </c>
      <c r="B228" s="17" t="s">
        <v>56</v>
      </c>
      <c r="C228" s="17" t="s">
        <v>118</v>
      </c>
      <c r="D228" s="17" t="s">
        <v>95</v>
      </c>
      <c r="E228" s="16" t="str">
        <f aca="false">IFERROR(INDEX(Lists!$B$2:$B$7,MATCH(B228,Lists!$A$2:$A$7,0))&amp;"-"&amp;INDEX(Series!$C$2:$C$30,MATCH(C228,Series!$B$2:$B$30,0))&amp;"-"&amp;INDEX(Part_Categories!$A$2:$A$18,MATCH(D228,Part_Categories!$B$2:$B$18,0))&amp;"-01","CHECK")</f>
        <v>KIR-PC-PIN-01</v>
      </c>
      <c r="F228" s="16" t="str">
        <f aca="false">E228&amp;".jpg"</f>
        <v>KIR-PC-PIN-01.jpg</v>
      </c>
      <c r="G228" s="18" t="str">
        <f aca="false">IFERROR(INDEX(Series!$F$2:$F$30,MATCH(C228,Series!$B$2:$B$30,0)),"")</f>
        <v>PC 2, PC (other sizes to add)</v>
      </c>
      <c r="H228" s="19"/>
      <c r="I228" s="19"/>
      <c r="J228" s="19"/>
      <c r="K228" s="19" t="s">
        <v>70</v>
      </c>
      <c r="L228" s="19"/>
      <c r="M228" s="19"/>
      <c r="N228" s="19"/>
      <c r="O228" s="18" t="str">
        <f aca="false">C228&amp;" "&amp;D228&amp;" spare part - Efforts Engineers"</f>
        <v>Kirloskar PC Series Gudgeon Pin and Bush spare part - Efforts Engineers</v>
      </c>
      <c r="P228" s="16" t="str">
        <f aca="false">IFERROR("/"&amp;LOWER(B228)&amp;"/"&amp;INDEX(Series!$D$2:$D$30,MATCH(C228,Series!$B$2:$B$30,0))&amp;"/"&amp;INDEX(Part_Categories!$C$2:$C$18,MATCH(D228,Part_Categories!$B$2:$B$18,0)),"CHECK")</f>
        <v>/kirloskar/pc/gudgeon-pin-and-bush</v>
      </c>
      <c r="Q228" s="19"/>
    </row>
    <row r="229" customFormat="false" ht="23.85" hidden="false" customHeight="false" outlineLevel="0" collapsed="false">
      <c r="A229" s="16" t="n">
        <f aca="false">ROW()-1</f>
        <v>228</v>
      </c>
      <c r="B229" s="17" t="s">
        <v>56</v>
      </c>
      <c r="C229" s="17" t="s">
        <v>118</v>
      </c>
      <c r="D229" s="17" t="s">
        <v>96</v>
      </c>
      <c r="E229" s="16" t="str">
        <f aca="false">IFERROR(INDEX(Lists!$B$2:$B$7,MATCH(B229,Lists!$A$2:$A$7,0))&amp;"-"&amp;INDEX(Series!$C$2:$C$30,MATCH(C229,Series!$B$2:$B$30,0))&amp;"-"&amp;INDEX(Part_Categories!$A$2:$A$18,MATCH(D229,Part_Categories!$B$2:$B$18,0))&amp;"-01","CHECK")</f>
        <v>KIR-PC-BRG-01</v>
      </c>
      <c r="F229" s="16" t="str">
        <f aca="false">E229&amp;".jpg"</f>
        <v>KIR-PC-BRG-01.jpg</v>
      </c>
      <c r="G229" s="18" t="str">
        <f aca="false">IFERROR(INDEX(Series!$F$2:$F$30,MATCH(C229,Series!$B$2:$B$30,0)),"")</f>
        <v>PC 2, PC (other sizes to add)</v>
      </c>
      <c r="H229" s="19"/>
      <c r="I229" s="19"/>
      <c r="J229" s="19"/>
      <c r="K229" s="19" t="s">
        <v>70</v>
      </c>
      <c r="L229" s="19"/>
      <c r="M229" s="19"/>
      <c r="N229" s="19"/>
      <c r="O229" s="18" t="str">
        <f aca="false">C229&amp;" "&amp;D229&amp;" spare part - Efforts Engineers"</f>
        <v>Kirloskar PC Series Main Bearing and Bush spare part - Efforts Engineers</v>
      </c>
      <c r="P229" s="16" t="str">
        <f aca="false">IFERROR("/"&amp;LOWER(B229)&amp;"/"&amp;INDEX(Series!$D$2:$D$30,MATCH(C229,Series!$B$2:$B$30,0))&amp;"/"&amp;INDEX(Part_Categories!$C$2:$C$18,MATCH(D229,Part_Categories!$B$2:$B$18,0)),"CHECK")</f>
        <v>/kirloskar/pc/main-bearing-and-bush</v>
      </c>
      <c r="Q229" s="19"/>
    </row>
    <row r="230" customFormat="false" ht="23.85" hidden="false" customHeight="false" outlineLevel="0" collapsed="false">
      <c r="A230" s="16" t="n">
        <f aca="false">ROW()-1</f>
        <v>229</v>
      </c>
      <c r="B230" s="17" t="s">
        <v>56</v>
      </c>
      <c r="C230" s="17" t="s">
        <v>118</v>
      </c>
      <c r="D230" s="17" t="s">
        <v>97</v>
      </c>
      <c r="E230" s="16" t="str">
        <f aca="false">IFERROR(INDEX(Lists!$B$2:$B$7,MATCH(B230,Lists!$A$2:$A$7,0))&amp;"-"&amp;INDEX(Series!$C$2:$C$30,MATCH(C230,Series!$B$2:$B$30,0))&amp;"-"&amp;INDEX(Part_Categories!$A$2:$A$18,MATCH(D230,Part_Categories!$B$2:$B$18,0))&amp;"-01","CHECK")</f>
        <v>KIR-PC-SVP-01</v>
      </c>
      <c r="F230" s="16" t="str">
        <f aca="false">E230&amp;".jpg"</f>
        <v>KIR-PC-SVP-01.jpg</v>
      </c>
      <c r="G230" s="18" t="str">
        <f aca="false">IFERROR(INDEX(Series!$F$2:$F$30,MATCH(C230,Series!$B$2:$B$30,0)),"")</f>
        <v>PC 2, PC (other sizes to add)</v>
      </c>
      <c r="H230" s="19"/>
      <c r="I230" s="19"/>
      <c r="J230" s="19"/>
      <c r="K230" s="19" t="s">
        <v>70</v>
      </c>
      <c r="L230" s="19"/>
      <c r="M230" s="19"/>
      <c r="N230" s="19"/>
      <c r="O230" s="18" t="str">
        <f aca="false">C230&amp;" "&amp;D230&amp;" spare part - Efforts Engineers"</f>
        <v>Kirloskar PC Series Suction Valve Plate spare part - Efforts Engineers</v>
      </c>
      <c r="P230" s="16" t="str">
        <f aca="false">IFERROR("/"&amp;LOWER(B230)&amp;"/"&amp;INDEX(Series!$D$2:$D$30,MATCH(C230,Series!$B$2:$B$30,0))&amp;"/"&amp;INDEX(Part_Categories!$C$2:$C$18,MATCH(D230,Part_Categories!$B$2:$B$18,0)),"CHECK")</f>
        <v>/kirloskar/pc/suction-valve-plate</v>
      </c>
      <c r="Q230" s="19"/>
    </row>
    <row r="231" customFormat="false" ht="23.85" hidden="false" customHeight="false" outlineLevel="0" collapsed="false">
      <c r="A231" s="16" t="n">
        <f aca="false">ROW()-1</f>
        <v>230</v>
      </c>
      <c r="B231" s="17" t="s">
        <v>56</v>
      </c>
      <c r="C231" s="17" t="s">
        <v>118</v>
      </c>
      <c r="D231" s="17" t="s">
        <v>98</v>
      </c>
      <c r="E231" s="16" t="str">
        <f aca="false">IFERROR(INDEX(Lists!$B$2:$B$7,MATCH(B231,Lists!$A$2:$A$7,0))&amp;"-"&amp;INDEX(Series!$C$2:$C$30,MATCH(C231,Series!$B$2:$B$30,0))&amp;"-"&amp;INDEX(Part_Categories!$A$2:$A$18,MATCH(D231,Part_Categories!$B$2:$B$18,0))&amp;"-01","CHECK")</f>
        <v>KIR-PC-DVA-01</v>
      </c>
      <c r="F231" s="16" t="str">
        <f aca="false">E231&amp;".jpg"</f>
        <v>KIR-PC-DVA-01.jpg</v>
      </c>
      <c r="G231" s="18" t="str">
        <f aca="false">IFERROR(INDEX(Series!$F$2:$F$30,MATCH(C231,Series!$B$2:$B$30,0)),"")</f>
        <v>PC 2, PC (other sizes to add)</v>
      </c>
      <c r="H231" s="19"/>
      <c r="I231" s="19"/>
      <c r="J231" s="19"/>
      <c r="K231" s="19" t="s">
        <v>70</v>
      </c>
      <c r="L231" s="19"/>
      <c r="M231" s="19"/>
      <c r="N231" s="19"/>
      <c r="O231" s="18" t="str">
        <f aca="false">C231&amp;" "&amp;D231&amp;" spare part - Efforts Engineers"</f>
        <v>Kirloskar PC Series Discharge Valve Assembly spare part - Efforts Engineers</v>
      </c>
      <c r="P231" s="16" t="str">
        <f aca="false">IFERROR("/"&amp;LOWER(B231)&amp;"/"&amp;INDEX(Series!$D$2:$D$30,MATCH(C231,Series!$B$2:$B$30,0))&amp;"/"&amp;INDEX(Part_Categories!$C$2:$C$18,MATCH(D231,Part_Categories!$B$2:$B$18,0)),"CHECK")</f>
        <v>/kirloskar/pc/discharge-valve-assembly</v>
      </c>
      <c r="Q231" s="19"/>
    </row>
    <row r="232" customFormat="false" ht="23.85" hidden="false" customHeight="false" outlineLevel="0" collapsed="false">
      <c r="A232" s="16" t="n">
        <f aca="false">ROW()-1</f>
        <v>231</v>
      </c>
      <c r="B232" s="17" t="s">
        <v>56</v>
      </c>
      <c r="C232" s="17" t="s">
        <v>118</v>
      </c>
      <c r="D232" s="17" t="s">
        <v>99</v>
      </c>
      <c r="E232" s="16" t="str">
        <f aca="false">IFERROR(INDEX(Lists!$B$2:$B$7,MATCH(B232,Lists!$A$2:$A$7,0))&amp;"-"&amp;INDEX(Series!$C$2:$C$30,MATCH(C232,Series!$B$2:$B$30,0))&amp;"-"&amp;INDEX(Part_Categories!$A$2:$A$18,MATCH(D232,Part_Categories!$B$2:$B$18,0))&amp;"-01","CHECK")</f>
        <v>KIR-PC-VSP-01</v>
      </c>
      <c r="F232" s="16" t="str">
        <f aca="false">E232&amp;".jpg"</f>
        <v>KIR-PC-VSP-01.jpg</v>
      </c>
      <c r="G232" s="18" t="str">
        <f aca="false">IFERROR(INDEX(Series!$F$2:$F$30,MATCH(C232,Series!$B$2:$B$30,0)),"")</f>
        <v>PC 2, PC (other sizes to add)</v>
      </c>
      <c r="H232" s="19"/>
      <c r="I232" s="19"/>
      <c r="J232" s="19"/>
      <c r="K232" s="19" t="s">
        <v>70</v>
      </c>
      <c r="L232" s="19"/>
      <c r="M232" s="19"/>
      <c r="N232" s="19"/>
      <c r="O232" s="18" t="str">
        <f aca="false">C232&amp;" "&amp;D232&amp;" spare part - Efforts Engineers"</f>
        <v>Kirloskar PC Series Valve Spring and Cage spare part - Efforts Engineers</v>
      </c>
      <c r="P232" s="16" t="str">
        <f aca="false">IFERROR("/"&amp;LOWER(B232)&amp;"/"&amp;INDEX(Series!$D$2:$D$30,MATCH(C232,Series!$B$2:$B$30,0))&amp;"/"&amp;INDEX(Part_Categories!$C$2:$C$18,MATCH(D232,Part_Categories!$B$2:$B$18,0)),"CHECK")</f>
        <v>/kirloskar/pc/valve-spring-and-cage</v>
      </c>
      <c r="Q232" s="19"/>
    </row>
    <row r="233" customFormat="false" ht="23.85" hidden="false" customHeight="false" outlineLevel="0" collapsed="false">
      <c r="A233" s="16" t="n">
        <f aca="false">ROW()-1</f>
        <v>232</v>
      </c>
      <c r="B233" s="17" t="s">
        <v>56</v>
      </c>
      <c r="C233" s="17" t="s">
        <v>118</v>
      </c>
      <c r="D233" s="17" t="s">
        <v>100</v>
      </c>
      <c r="E233" s="16" t="str">
        <f aca="false">IFERROR(INDEX(Lists!$B$2:$B$7,MATCH(B233,Lists!$A$2:$A$7,0))&amp;"-"&amp;INDEX(Series!$C$2:$C$30,MATCH(C233,Series!$B$2:$B$30,0))&amp;"-"&amp;INDEX(Part_Categories!$A$2:$A$18,MATCH(D233,Part_Categories!$B$2:$B$18,0))&amp;"-01","CHECK")</f>
        <v>KIR-PC-HDC-01</v>
      </c>
      <c r="F233" s="16" t="str">
        <f aca="false">E233&amp;".jpg"</f>
        <v>KIR-PC-HDC-01.jpg</v>
      </c>
      <c r="G233" s="18" t="str">
        <f aca="false">IFERROR(INDEX(Series!$F$2:$F$30,MATCH(C233,Series!$B$2:$B$30,0)),"")</f>
        <v>PC 2, PC (other sizes to add)</v>
      </c>
      <c r="H233" s="19"/>
      <c r="I233" s="19"/>
      <c r="J233" s="19"/>
      <c r="K233" s="19" t="s">
        <v>70</v>
      </c>
      <c r="L233" s="19"/>
      <c r="M233" s="19"/>
      <c r="N233" s="19"/>
      <c r="O233" s="18" t="str">
        <f aca="false">C233&amp;" "&amp;D233&amp;" spare part - Efforts Engineers"</f>
        <v>Kirloskar PC Series Cylinder Head Cover spare part - Efforts Engineers</v>
      </c>
      <c r="P233" s="16" t="str">
        <f aca="false">IFERROR("/"&amp;LOWER(B233)&amp;"/"&amp;INDEX(Series!$D$2:$D$30,MATCH(C233,Series!$B$2:$B$30,0))&amp;"/"&amp;INDEX(Part_Categories!$C$2:$C$18,MATCH(D233,Part_Categories!$B$2:$B$18,0)),"CHECK")</f>
        <v>/kirloskar/pc/cylinder-head-cover</v>
      </c>
      <c r="Q233" s="19"/>
    </row>
    <row r="234" customFormat="false" ht="23.85" hidden="false" customHeight="false" outlineLevel="0" collapsed="false">
      <c r="A234" s="16" t="n">
        <f aca="false">ROW()-1</f>
        <v>233</v>
      </c>
      <c r="B234" s="17" t="s">
        <v>56</v>
      </c>
      <c r="C234" s="17" t="s">
        <v>118</v>
      </c>
      <c r="D234" s="17" t="s">
        <v>101</v>
      </c>
      <c r="E234" s="16" t="str">
        <f aca="false">IFERROR(INDEX(Lists!$B$2:$B$7,MATCH(B234,Lists!$A$2:$A$7,0))&amp;"-"&amp;INDEX(Series!$C$2:$C$30,MATCH(C234,Series!$B$2:$B$30,0))&amp;"-"&amp;INDEX(Part_Categories!$A$2:$A$18,MATCH(D234,Part_Categories!$B$2:$B$18,0))&amp;"-01","CHECK")</f>
        <v>KIR-PC-GSK-01</v>
      </c>
      <c r="F234" s="16" t="str">
        <f aca="false">E234&amp;".jpg"</f>
        <v>KIR-PC-GSK-01.jpg</v>
      </c>
      <c r="G234" s="18" t="str">
        <f aca="false">IFERROR(INDEX(Series!$F$2:$F$30,MATCH(C234,Series!$B$2:$B$30,0)),"")</f>
        <v>PC 2, PC (other sizes to add)</v>
      </c>
      <c r="H234" s="19"/>
      <c r="I234" s="19"/>
      <c r="J234" s="19"/>
      <c r="K234" s="19" t="s">
        <v>70</v>
      </c>
      <c r="L234" s="19"/>
      <c r="M234" s="19"/>
      <c r="N234" s="19"/>
      <c r="O234" s="18" t="str">
        <f aca="false">C234&amp;" "&amp;D234&amp;" spare part - Efforts Engineers"</f>
        <v>Kirloskar PC Series Gasket and Overhaul Kit spare part - Efforts Engineers</v>
      </c>
      <c r="P234" s="16" t="str">
        <f aca="false">IFERROR("/"&amp;LOWER(B234)&amp;"/"&amp;INDEX(Series!$D$2:$D$30,MATCH(C234,Series!$B$2:$B$30,0))&amp;"/"&amp;INDEX(Part_Categories!$C$2:$C$18,MATCH(D234,Part_Categories!$B$2:$B$18,0)),"CHECK")</f>
        <v>/kirloskar/pc/gasket-and-overhaul-kit</v>
      </c>
      <c r="Q234" s="19"/>
    </row>
    <row r="235" customFormat="false" ht="23.85" hidden="false" customHeight="false" outlineLevel="0" collapsed="false">
      <c r="A235" s="16" t="n">
        <f aca="false">ROW()-1</f>
        <v>234</v>
      </c>
      <c r="B235" s="17" t="s">
        <v>56</v>
      </c>
      <c r="C235" s="17" t="s">
        <v>118</v>
      </c>
      <c r="D235" s="17" t="s">
        <v>102</v>
      </c>
      <c r="E235" s="16" t="str">
        <f aca="false">IFERROR(INDEX(Lists!$B$2:$B$7,MATCH(B235,Lists!$A$2:$A$7,0))&amp;"-"&amp;INDEX(Series!$C$2:$C$30,MATCH(C235,Series!$B$2:$B$30,0))&amp;"-"&amp;INDEX(Part_Categories!$A$2:$A$18,MATCH(D235,Part_Categories!$B$2:$B$18,0))&amp;"-01","CHECK")</f>
        <v>KIR-PC-OPA-01</v>
      </c>
      <c r="F235" s="16" t="str">
        <f aca="false">E235&amp;".jpg"</f>
        <v>KIR-PC-OPA-01.jpg</v>
      </c>
      <c r="G235" s="18" t="str">
        <f aca="false">IFERROR(INDEX(Series!$F$2:$F$30,MATCH(C235,Series!$B$2:$B$30,0)),"")</f>
        <v>PC 2, PC (other sizes to add)</v>
      </c>
      <c r="H235" s="19"/>
      <c r="I235" s="19"/>
      <c r="J235" s="19"/>
      <c r="K235" s="19" t="s">
        <v>70</v>
      </c>
      <c r="L235" s="19"/>
      <c r="M235" s="19"/>
      <c r="N235" s="19"/>
      <c r="O235" s="18" t="str">
        <f aca="false">C235&amp;" "&amp;D235&amp;" spare part - Efforts Engineers"</f>
        <v>Kirloskar PC Series Oil Pump Assembly spare part - Efforts Engineers</v>
      </c>
      <c r="P235" s="16" t="str">
        <f aca="false">IFERROR("/"&amp;LOWER(B235)&amp;"/"&amp;INDEX(Series!$D$2:$D$30,MATCH(C235,Series!$B$2:$B$30,0))&amp;"/"&amp;INDEX(Part_Categories!$C$2:$C$18,MATCH(D235,Part_Categories!$B$2:$B$18,0)),"CHECK")</f>
        <v>/kirloskar/pc/oil-pump-assembly</v>
      </c>
      <c r="Q235" s="19"/>
    </row>
    <row r="236" customFormat="false" ht="23.85" hidden="false" customHeight="false" outlineLevel="0" collapsed="false">
      <c r="A236" s="16" t="n">
        <f aca="false">ROW()-1</f>
        <v>235</v>
      </c>
      <c r="B236" s="17" t="s">
        <v>56</v>
      </c>
      <c r="C236" s="17" t="s">
        <v>118</v>
      </c>
      <c r="D236" s="17" t="s">
        <v>103</v>
      </c>
      <c r="E236" s="16" t="str">
        <f aca="false">IFERROR(INDEX(Lists!$B$2:$B$7,MATCH(B236,Lists!$A$2:$A$7,0))&amp;"-"&amp;INDEX(Series!$C$2:$C$30,MATCH(C236,Series!$B$2:$B$30,0))&amp;"-"&amp;INDEX(Part_Categories!$A$2:$A$18,MATCH(D236,Part_Categories!$B$2:$B$18,0))&amp;"-01","CHECK")</f>
        <v>KIR-PC-SHS-01</v>
      </c>
      <c r="F236" s="16" t="str">
        <f aca="false">E236&amp;".jpg"</f>
        <v>KIR-PC-SHS-01.jpg</v>
      </c>
      <c r="G236" s="18" t="str">
        <f aca="false">IFERROR(INDEX(Series!$F$2:$F$30,MATCH(C236,Series!$B$2:$B$30,0)),"")</f>
        <v>PC 2, PC (other sizes to add)</v>
      </c>
      <c r="H236" s="19"/>
      <c r="I236" s="19"/>
      <c r="J236" s="19"/>
      <c r="K236" s="19" t="s">
        <v>70</v>
      </c>
      <c r="L236" s="19"/>
      <c r="M236" s="19"/>
      <c r="N236" s="19"/>
      <c r="O236" s="18" t="str">
        <f aca="false">C236&amp;" "&amp;D236&amp;" spare part - Efforts Engineers"</f>
        <v>Kirloskar PC Series Shaft Seal spare part - Efforts Engineers</v>
      </c>
      <c r="P236" s="16" t="str">
        <f aca="false">IFERROR("/"&amp;LOWER(B236)&amp;"/"&amp;INDEX(Series!$D$2:$D$30,MATCH(C236,Series!$B$2:$B$30,0))&amp;"/"&amp;INDEX(Part_Categories!$C$2:$C$18,MATCH(D236,Part_Categories!$B$2:$B$18,0)),"CHECK")</f>
        <v>/kirloskar/pc/shaft-seal</v>
      </c>
      <c r="Q236" s="19"/>
    </row>
    <row r="237" customFormat="false" ht="23.85" hidden="false" customHeight="false" outlineLevel="0" collapsed="false">
      <c r="A237" s="16" t="n">
        <f aca="false">ROW()-1</f>
        <v>236</v>
      </c>
      <c r="B237" s="17" t="s">
        <v>56</v>
      </c>
      <c r="C237" s="17" t="s">
        <v>118</v>
      </c>
      <c r="D237" s="17" t="s">
        <v>104</v>
      </c>
      <c r="E237" s="16" t="str">
        <f aca="false">IFERROR(INDEX(Lists!$B$2:$B$7,MATCH(B237,Lists!$A$2:$A$7,0))&amp;"-"&amp;INDEX(Series!$C$2:$C$30,MATCH(C237,Series!$B$2:$B$30,0))&amp;"-"&amp;INDEX(Part_Categories!$A$2:$A$18,MATCH(D237,Part_Categories!$B$2:$B$18,0))&amp;"-01","CHECK")</f>
        <v>KIR-PC-FLT-01</v>
      </c>
      <c r="F237" s="16" t="str">
        <f aca="false">E237&amp;".jpg"</f>
        <v>KIR-PC-FLT-01.jpg</v>
      </c>
      <c r="G237" s="18" t="str">
        <f aca="false">IFERROR(INDEX(Series!$F$2:$F$30,MATCH(C237,Series!$B$2:$B$30,0)),"")</f>
        <v>PC 2, PC (other sizes to add)</v>
      </c>
      <c r="H237" s="19"/>
      <c r="I237" s="19"/>
      <c r="J237" s="19"/>
      <c r="K237" s="19" t="s">
        <v>70</v>
      </c>
      <c r="L237" s="19"/>
      <c r="M237" s="19"/>
      <c r="N237" s="19"/>
      <c r="O237" s="18" t="str">
        <f aca="false">C237&amp;" "&amp;D237&amp;" spare part - Efforts Engineers"</f>
        <v>Kirloskar PC Series Oil Filter and Strainer spare part - Efforts Engineers</v>
      </c>
      <c r="P237" s="16" t="str">
        <f aca="false">IFERROR("/"&amp;LOWER(B237)&amp;"/"&amp;INDEX(Series!$D$2:$D$30,MATCH(C237,Series!$B$2:$B$30,0))&amp;"/"&amp;INDEX(Part_Categories!$C$2:$C$18,MATCH(D237,Part_Categories!$B$2:$B$18,0)),"CHECK")</f>
        <v>/kirloskar/pc/oil-filter-and-strainer</v>
      </c>
      <c r="Q237" s="19"/>
    </row>
    <row r="238" customFormat="false" ht="23.85" hidden="false" customHeight="false" outlineLevel="0" collapsed="false">
      <c r="A238" s="16" t="n">
        <f aca="false">ROW()-1</f>
        <v>237</v>
      </c>
      <c r="B238" s="17" t="s">
        <v>56</v>
      </c>
      <c r="C238" s="17" t="s">
        <v>118</v>
      </c>
      <c r="D238" s="17" t="s">
        <v>105</v>
      </c>
      <c r="E238" s="16" t="str">
        <f aca="false">IFERROR(INDEX(Lists!$B$2:$B$7,MATCH(B238,Lists!$A$2:$A$7,0))&amp;"-"&amp;INDEX(Series!$C$2:$C$30,MATCH(C238,Series!$B$2:$B$30,0))&amp;"-"&amp;INDEX(Part_Categories!$A$2:$A$18,MATCH(D238,Part_Categories!$B$2:$B$18,0))&amp;"-01","CHECK")</f>
        <v>KIR-PC-ULD-01</v>
      </c>
      <c r="F238" s="16" t="str">
        <f aca="false">E238&amp;".jpg"</f>
        <v>KIR-PC-ULD-01.jpg</v>
      </c>
      <c r="G238" s="18" t="str">
        <f aca="false">IFERROR(INDEX(Series!$F$2:$F$30,MATCH(C238,Series!$B$2:$B$30,0)),"")</f>
        <v>PC 2, PC (other sizes to add)</v>
      </c>
      <c r="H238" s="19"/>
      <c r="I238" s="19"/>
      <c r="J238" s="19"/>
      <c r="K238" s="19" t="s">
        <v>70</v>
      </c>
      <c r="L238" s="19"/>
      <c r="M238" s="19"/>
      <c r="N238" s="19"/>
      <c r="O238" s="18" t="str">
        <f aca="false">C238&amp;" "&amp;D238&amp;" spare part - Efforts Engineers"</f>
        <v>Kirloskar PC Series Unloader and Capacity Control spare part - Efforts Engineers</v>
      </c>
      <c r="P238" s="16" t="str">
        <f aca="false">IFERROR("/"&amp;LOWER(B238)&amp;"/"&amp;INDEX(Series!$D$2:$D$30,MATCH(C238,Series!$B$2:$B$30,0))&amp;"/"&amp;INDEX(Part_Categories!$C$2:$C$18,MATCH(D238,Part_Categories!$B$2:$B$18,0)),"CHECK")</f>
        <v>/kirloskar/pc/unloader-and-capacity-control</v>
      </c>
      <c r="Q238" s="19"/>
    </row>
    <row r="239" customFormat="false" ht="23.85" hidden="false" customHeight="false" outlineLevel="0" collapsed="false">
      <c r="A239" s="16" t="n">
        <f aca="false">ROW()-1</f>
        <v>238</v>
      </c>
      <c r="B239" s="17" t="s">
        <v>56</v>
      </c>
      <c r="C239" s="17" t="s">
        <v>118</v>
      </c>
      <c r="D239" s="17" t="s">
        <v>106</v>
      </c>
      <c r="E239" s="16" t="str">
        <f aca="false">IFERROR(INDEX(Lists!$B$2:$B$7,MATCH(B239,Lists!$A$2:$A$7,0))&amp;"-"&amp;INDEX(Series!$C$2:$C$30,MATCH(C239,Series!$B$2:$B$30,0))&amp;"-"&amp;INDEX(Part_Categories!$A$2:$A$18,MATCH(D239,Part_Categories!$B$2:$B$18,0))&amp;"-01","CHECK")</f>
        <v>KIR-PC-SAF-01</v>
      </c>
      <c r="F239" s="16" t="str">
        <f aca="false">E239&amp;".jpg"</f>
        <v>KIR-PC-SAF-01.jpg</v>
      </c>
      <c r="G239" s="18" t="str">
        <f aca="false">IFERROR(INDEX(Series!$F$2:$F$30,MATCH(C239,Series!$B$2:$B$30,0)),"")</f>
        <v>PC 2, PC (other sizes to add)</v>
      </c>
      <c r="H239" s="19"/>
      <c r="I239" s="19"/>
      <c r="J239" s="19"/>
      <c r="K239" s="19" t="s">
        <v>70</v>
      </c>
      <c r="L239" s="19"/>
      <c r="M239" s="19"/>
      <c r="N239" s="19"/>
      <c r="O239" s="18" t="str">
        <f aca="false">C239&amp;" "&amp;D239&amp;" spare part - Efforts Engineers"</f>
        <v>Kirloskar PC Series Safety Head and Relief Valve spare part - Efforts Engineers</v>
      </c>
      <c r="P239" s="16" t="str">
        <f aca="false">IFERROR("/"&amp;LOWER(B239)&amp;"/"&amp;INDEX(Series!$D$2:$D$30,MATCH(C239,Series!$B$2:$B$30,0))&amp;"/"&amp;INDEX(Part_Categories!$C$2:$C$18,MATCH(D239,Part_Categories!$B$2:$B$18,0)),"CHECK")</f>
        <v>/kirloskar/pc/safety-head-and-relief-valve</v>
      </c>
      <c r="Q239" s="19"/>
    </row>
    <row r="240" customFormat="false" ht="23.85" hidden="false" customHeight="false" outlineLevel="0" collapsed="false">
      <c r="A240" s="16" t="n">
        <f aca="false">ROW()-1</f>
        <v>239</v>
      </c>
      <c r="B240" s="17" t="s">
        <v>77</v>
      </c>
      <c r="C240" s="17" t="s">
        <v>119</v>
      </c>
      <c r="D240" s="17" t="s">
        <v>58</v>
      </c>
      <c r="E240" s="16" t="str">
        <f aca="false">IFERROR(INDEX(Lists!$B$2:$B$7,MATCH(B240,Lists!$A$2:$A$7,0))&amp;"-"&amp;INDEX(Series!$C$2:$C$30,MATCH(C240,Series!$B$2:$B$30,0))&amp;"-"&amp;INDEX(Part_Categories!$A$2:$A$18,MATCH(D240,Part_Categories!$B$2:$B$18,0))&amp;"-01","CHECK")</f>
        <v>VIL-V440-CLN-01</v>
      </c>
      <c r="F240" s="16" t="str">
        <f aca="false">E240&amp;".jpg"</f>
        <v>VIL-V440-CLN-01.jpg</v>
      </c>
      <c r="G240" s="18" t="str">
        <f aca="false">IFERROR(INDEX(Series!$F$2:$F$30,MATCH(C240,Series!$B$2:$B$30,0)),"")</f>
        <v>442, 444, 446, 448, 4412, 4416</v>
      </c>
      <c r="H240" s="19"/>
      <c r="I240" s="19"/>
      <c r="J240" s="19"/>
      <c r="K240" s="19" t="s">
        <v>70</v>
      </c>
      <c r="L240" s="19"/>
      <c r="M240" s="19"/>
      <c r="N240" s="19"/>
      <c r="O240" s="18" t="str">
        <f aca="false">C240&amp;" "&amp;D240&amp;" spare part - Efforts Engineers"</f>
        <v>Vilter VMC 440 Series Cylinder Liner spare part - Efforts Engineers</v>
      </c>
      <c r="P240" s="16" t="str">
        <f aca="false">IFERROR("/"&amp;LOWER(B240)&amp;"/"&amp;INDEX(Series!$D$2:$D$30,MATCH(C240,Series!$B$2:$B$30,0))&amp;"/"&amp;INDEX(Part_Categories!$C$2:$C$18,MATCH(D240,Part_Categories!$B$2:$B$18,0)),"CHECK")</f>
        <v>/vilter/vmc-440/cylinder-liner</v>
      </c>
      <c r="Q240" s="19"/>
    </row>
    <row r="241" customFormat="false" ht="23.85" hidden="false" customHeight="false" outlineLevel="0" collapsed="false">
      <c r="A241" s="16" t="n">
        <f aca="false">ROW()-1</f>
        <v>240</v>
      </c>
      <c r="B241" s="17" t="s">
        <v>77</v>
      </c>
      <c r="C241" s="17" t="s">
        <v>119</v>
      </c>
      <c r="D241" s="17" t="s">
        <v>91</v>
      </c>
      <c r="E241" s="16" t="str">
        <f aca="false">IFERROR(INDEX(Lists!$B$2:$B$7,MATCH(B241,Lists!$A$2:$A$7,0))&amp;"-"&amp;INDEX(Series!$C$2:$C$30,MATCH(C241,Series!$B$2:$B$30,0))&amp;"-"&amp;INDEX(Part_Categories!$A$2:$A$18,MATCH(D241,Part_Categories!$B$2:$B$18,0))&amp;"-01","CHECK")</f>
        <v>VIL-V440-PST-01</v>
      </c>
      <c r="F241" s="16" t="str">
        <f aca="false">E241&amp;".jpg"</f>
        <v>VIL-V440-PST-01.jpg</v>
      </c>
      <c r="G241" s="18" t="str">
        <f aca="false">IFERROR(INDEX(Series!$F$2:$F$30,MATCH(C241,Series!$B$2:$B$30,0)),"")</f>
        <v>442, 444, 446, 448, 4412, 4416</v>
      </c>
      <c r="H241" s="19"/>
      <c r="I241" s="19"/>
      <c r="J241" s="19"/>
      <c r="K241" s="19" t="s">
        <v>70</v>
      </c>
      <c r="L241" s="19"/>
      <c r="M241" s="19"/>
      <c r="N241" s="19"/>
      <c r="O241" s="18" t="str">
        <f aca="false">C241&amp;" "&amp;D241&amp;" spare part - Efforts Engineers"</f>
        <v>Vilter VMC 440 Series Piston Assembly spare part - Efforts Engineers</v>
      </c>
      <c r="P241" s="16" t="str">
        <f aca="false">IFERROR("/"&amp;LOWER(B241)&amp;"/"&amp;INDEX(Series!$D$2:$D$30,MATCH(C241,Series!$B$2:$B$30,0))&amp;"/"&amp;INDEX(Part_Categories!$C$2:$C$18,MATCH(D241,Part_Categories!$B$2:$B$18,0)),"CHECK")</f>
        <v>/vilter/vmc-440/piston-assembly</v>
      </c>
      <c r="Q241" s="19"/>
    </row>
    <row r="242" customFormat="false" ht="23.85" hidden="false" customHeight="false" outlineLevel="0" collapsed="false">
      <c r="A242" s="16" t="n">
        <f aca="false">ROW()-1</f>
        <v>241</v>
      </c>
      <c r="B242" s="17" t="s">
        <v>77</v>
      </c>
      <c r="C242" s="17" t="s">
        <v>119</v>
      </c>
      <c r="D242" s="17" t="s">
        <v>92</v>
      </c>
      <c r="E242" s="16" t="str">
        <f aca="false">IFERROR(INDEX(Lists!$B$2:$B$7,MATCH(B242,Lists!$A$2:$A$7,0))&amp;"-"&amp;INDEX(Series!$C$2:$C$30,MATCH(C242,Series!$B$2:$B$30,0))&amp;"-"&amp;INDEX(Part_Categories!$A$2:$A$18,MATCH(D242,Part_Categories!$B$2:$B$18,0))&amp;"-01","CHECK")</f>
        <v>VIL-V440-PRG-01</v>
      </c>
      <c r="F242" s="16" t="str">
        <f aca="false">E242&amp;".jpg"</f>
        <v>VIL-V440-PRG-01.jpg</v>
      </c>
      <c r="G242" s="18" t="str">
        <f aca="false">IFERROR(INDEX(Series!$F$2:$F$30,MATCH(C242,Series!$B$2:$B$30,0)),"")</f>
        <v>442, 444, 446, 448, 4412, 4416</v>
      </c>
      <c r="H242" s="19"/>
      <c r="I242" s="19"/>
      <c r="J242" s="19"/>
      <c r="K242" s="19" t="s">
        <v>70</v>
      </c>
      <c r="L242" s="19"/>
      <c r="M242" s="19"/>
      <c r="N242" s="19"/>
      <c r="O242" s="18" t="str">
        <f aca="false">C242&amp;" "&amp;D242&amp;" spare part - Efforts Engineers"</f>
        <v>Vilter VMC 440 Series Piston Ring Set spare part - Efforts Engineers</v>
      </c>
      <c r="P242" s="16" t="str">
        <f aca="false">IFERROR("/"&amp;LOWER(B242)&amp;"/"&amp;INDEX(Series!$D$2:$D$30,MATCH(C242,Series!$B$2:$B$30,0))&amp;"/"&amp;INDEX(Part_Categories!$C$2:$C$18,MATCH(D242,Part_Categories!$B$2:$B$18,0)),"CHECK")</f>
        <v>/vilter/vmc-440/piston-ring-set</v>
      </c>
      <c r="Q242" s="19"/>
    </row>
    <row r="243" customFormat="false" ht="23.85" hidden="false" customHeight="false" outlineLevel="0" collapsed="false">
      <c r="A243" s="16" t="n">
        <f aca="false">ROW()-1</f>
        <v>242</v>
      </c>
      <c r="B243" s="17" t="s">
        <v>77</v>
      </c>
      <c r="C243" s="17" t="s">
        <v>119</v>
      </c>
      <c r="D243" s="17" t="s">
        <v>93</v>
      </c>
      <c r="E243" s="16" t="str">
        <f aca="false">IFERROR(INDEX(Lists!$B$2:$B$7,MATCH(B243,Lists!$A$2:$A$7,0))&amp;"-"&amp;INDEX(Series!$C$2:$C$30,MATCH(C243,Series!$B$2:$B$30,0))&amp;"-"&amp;INDEX(Part_Categories!$A$2:$A$18,MATCH(D243,Part_Categories!$B$2:$B$18,0))&amp;"-01","CHECK")</f>
        <v>VIL-V440-CRD-01</v>
      </c>
      <c r="F243" s="16" t="str">
        <f aca="false">E243&amp;".jpg"</f>
        <v>VIL-V440-CRD-01.jpg</v>
      </c>
      <c r="G243" s="18" t="str">
        <f aca="false">IFERROR(INDEX(Series!$F$2:$F$30,MATCH(C243,Series!$B$2:$B$30,0)),"")</f>
        <v>442, 444, 446, 448, 4412, 4416</v>
      </c>
      <c r="H243" s="19"/>
      <c r="I243" s="19"/>
      <c r="J243" s="19"/>
      <c r="K243" s="19" t="s">
        <v>70</v>
      </c>
      <c r="L243" s="19"/>
      <c r="M243" s="19"/>
      <c r="N243" s="19"/>
      <c r="O243" s="18" t="str">
        <f aca="false">C243&amp;" "&amp;D243&amp;" spare part - Efforts Engineers"</f>
        <v>Vilter VMC 440 Series Connecting Rod spare part - Efforts Engineers</v>
      </c>
      <c r="P243" s="16" t="str">
        <f aca="false">IFERROR("/"&amp;LOWER(B243)&amp;"/"&amp;INDEX(Series!$D$2:$D$30,MATCH(C243,Series!$B$2:$B$30,0))&amp;"/"&amp;INDEX(Part_Categories!$C$2:$C$18,MATCH(D243,Part_Categories!$B$2:$B$18,0)),"CHECK")</f>
        <v>/vilter/vmc-440/connecting-rod</v>
      </c>
      <c r="Q243" s="19"/>
    </row>
    <row r="244" customFormat="false" ht="23.85" hidden="false" customHeight="false" outlineLevel="0" collapsed="false">
      <c r="A244" s="16" t="n">
        <f aca="false">ROW()-1</f>
        <v>243</v>
      </c>
      <c r="B244" s="17" t="s">
        <v>77</v>
      </c>
      <c r="C244" s="17" t="s">
        <v>119</v>
      </c>
      <c r="D244" s="17" t="s">
        <v>94</v>
      </c>
      <c r="E244" s="16" t="str">
        <f aca="false">IFERROR(INDEX(Lists!$B$2:$B$7,MATCH(B244,Lists!$A$2:$A$7,0))&amp;"-"&amp;INDEX(Series!$C$2:$C$30,MATCH(C244,Series!$B$2:$B$30,0))&amp;"-"&amp;INDEX(Part_Categories!$A$2:$A$18,MATCH(D244,Part_Categories!$B$2:$B$18,0))&amp;"-01","CHECK")</f>
        <v>VIL-V440-CRK-01</v>
      </c>
      <c r="F244" s="16" t="str">
        <f aca="false">E244&amp;".jpg"</f>
        <v>VIL-V440-CRK-01.jpg</v>
      </c>
      <c r="G244" s="18" t="str">
        <f aca="false">IFERROR(INDEX(Series!$F$2:$F$30,MATCH(C244,Series!$B$2:$B$30,0)),"")</f>
        <v>442, 444, 446, 448, 4412, 4416</v>
      </c>
      <c r="H244" s="19"/>
      <c r="I244" s="19"/>
      <c r="J244" s="19"/>
      <c r="K244" s="19" t="s">
        <v>70</v>
      </c>
      <c r="L244" s="19"/>
      <c r="M244" s="19"/>
      <c r="N244" s="19"/>
      <c r="O244" s="18" t="str">
        <f aca="false">C244&amp;" "&amp;D244&amp;" spare part - Efforts Engineers"</f>
        <v>Vilter VMC 440 Series Crankshaft spare part - Efforts Engineers</v>
      </c>
      <c r="P244" s="16" t="str">
        <f aca="false">IFERROR("/"&amp;LOWER(B244)&amp;"/"&amp;INDEX(Series!$D$2:$D$30,MATCH(C244,Series!$B$2:$B$30,0))&amp;"/"&amp;INDEX(Part_Categories!$C$2:$C$18,MATCH(D244,Part_Categories!$B$2:$B$18,0)),"CHECK")</f>
        <v>/vilter/vmc-440/crankshaft</v>
      </c>
      <c r="Q244" s="19"/>
    </row>
    <row r="245" customFormat="false" ht="23.85" hidden="false" customHeight="false" outlineLevel="0" collapsed="false">
      <c r="A245" s="16" t="n">
        <f aca="false">ROW()-1</f>
        <v>244</v>
      </c>
      <c r="B245" s="17" t="s">
        <v>77</v>
      </c>
      <c r="C245" s="17" t="s">
        <v>119</v>
      </c>
      <c r="D245" s="17" t="s">
        <v>95</v>
      </c>
      <c r="E245" s="16" t="str">
        <f aca="false">IFERROR(INDEX(Lists!$B$2:$B$7,MATCH(B245,Lists!$A$2:$A$7,0))&amp;"-"&amp;INDEX(Series!$C$2:$C$30,MATCH(C245,Series!$B$2:$B$30,0))&amp;"-"&amp;INDEX(Part_Categories!$A$2:$A$18,MATCH(D245,Part_Categories!$B$2:$B$18,0))&amp;"-01","CHECK")</f>
        <v>VIL-V440-PIN-01</v>
      </c>
      <c r="F245" s="16" t="str">
        <f aca="false">E245&amp;".jpg"</f>
        <v>VIL-V440-PIN-01.jpg</v>
      </c>
      <c r="G245" s="18" t="str">
        <f aca="false">IFERROR(INDEX(Series!$F$2:$F$30,MATCH(C245,Series!$B$2:$B$30,0)),"")</f>
        <v>442, 444, 446, 448, 4412, 4416</v>
      </c>
      <c r="H245" s="19"/>
      <c r="I245" s="19"/>
      <c r="J245" s="19"/>
      <c r="K245" s="19" t="s">
        <v>70</v>
      </c>
      <c r="L245" s="19"/>
      <c r="M245" s="19"/>
      <c r="N245" s="19"/>
      <c r="O245" s="18" t="str">
        <f aca="false">C245&amp;" "&amp;D245&amp;" spare part - Efforts Engineers"</f>
        <v>Vilter VMC 440 Series Gudgeon Pin and Bush spare part - Efforts Engineers</v>
      </c>
      <c r="P245" s="16" t="str">
        <f aca="false">IFERROR("/"&amp;LOWER(B245)&amp;"/"&amp;INDEX(Series!$D$2:$D$30,MATCH(C245,Series!$B$2:$B$30,0))&amp;"/"&amp;INDEX(Part_Categories!$C$2:$C$18,MATCH(D245,Part_Categories!$B$2:$B$18,0)),"CHECK")</f>
        <v>/vilter/vmc-440/gudgeon-pin-and-bush</v>
      </c>
      <c r="Q245" s="19"/>
    </row>
    <row r="246" customFormat="false" ht="23.85" hidden="false" customHeight="false" outlineLevel="0" collapsed="false">
      <c r="A246" s="16" t="n">
        <f aca="false">ROW()-1</f>
        <v>245</v>
      </c>
      <c r="B246" s="17" t="s">
        <v>77</v>
      </c>
      <c r="C246" s="17" t="s">
        <v>119</v>
      </c>
      <c r="D246" s="17" t="s">
        <v>96</v>
      </c>
      <c r="E246" s="16" t="str">
        <f aca="false">IFERROR(INDEX(Lists!$B$2:$B$7,MATCH(B246,Lists!$A$2:$A$7,0))&amp;"-"&amp;INDEX(Series!$C$2:$C$30,MATCH(C246,Series!$B$2:$B$30,0))&amp;"-"&amp;INDEX(Part_Categories!$A$2:$A$18,MATCH(D246,Part_Categories!$B$2:$B$18,0))&amp;"-01","CHECK")</f>
        <v>VIL-V440-BRG-01</v>
      </c>
      <c r="F246" s="16" t="str">
        <f aca="false">E246&amp;".jpg"</f>
        <v>VIL-V440-BRG-01.jpg</v>
      </c>
      <c r="G246" s="18" t="str">
        <f aca="false">IFERROR(INDEX(Series!$F$2:$F$30,MATCH(C246,Series!$B$2:$B$30,0)),"")</f>
        <v>442, 444, 446, 448, 4412, 4416</v>
      </c>
      <c r="H246" s="19"/>
      <c r="I246" s="19"/>
      <c r="J246" s="19"/>
      <c r="K246" s="19" t="s">
        <v>70</v>
      </c>
      <c r="L246" s="19"/>
      <c r="M246" s="19"/>
      <c r="N246" s="19"/>
      <c r="O246" s="18" t="str">
        <f aca="false">C246&amp;" "&amp;D246&amp;" spare part - Efforts Engineers"</f>
        <v>Vilter VMC 440 Series Main Bearing and Bush spare part - Efforts Engineers</v>
      </c>
      <c r="P246" s="16" t="str">
        <f aca="false">IFERROR("/"&amp;LOWER(B246)&amp;"/"&amp;INDEX(Series!$D$2:$D$30,MATCH(C246,Series!$B$2:$B$30,0))&amp;"/"&amp;INDEX(Part_Categories!$C$2:$C$18,MATCH(D246,Part_Categories!$B$2:$B$18,0)),"CHECK")</f>
        <v>/vilter/vmc-440/main-bearing-and-bush</v>
      </c>
      <c r="Q246" s="19"/>
    </row>
    <row r="247" customFormat="false" ht="23.85" hidden="false" customHeight="false" outlineLevel="0" collapsed="false">
      <c r="A247" s="16" t="n">
        <f aca="false">ROW()-1</f>
        <v>246</v>
      </c>
      <c r="B247" s="17" t="s">
        <v>77</v>
      </c>
      <c r="C247" s="17" t="s">
        <v>119</v>
      </c>
      <c r="D247" s="17" t="s">
        <v>97</v>
      </c>
      <c r="E247" s="16" t="str">
        <f aca="false">IFERROR(INDEX(Lists!$B$2:$B$7,MATCH(B247,Lists!$A$2:$A$7,0))&amp;"-"&amp;INDEX(Series!$C$2:$C$30,MATCH(C247,Series!$B$2:$B$30,0))&amp;"-"&amp;INDEX(Part_Categories!$A$2:$A$18,MATCH(D247,Part_Categories!$B$2:$B$18,0))&amp;"-01","CHECK")</f>
        <v>VIL-V440-SVP-01</v>
      </c>
      <c r="F247" s="16" t="str">
        <f aca="false">E247&amp;".jpg"</f>
        <v>VIL-V440-SVP-01.jpg</v>
      </c>
      <c r="G247" s="18" t="str">
        <f aca="false">IFERROR(INDEX(Series!$F$2:$F$30,MATCH(C247,Series!$B$2:$B$30,0)),"")</f>
        <v>442, 444, 446, 448, 4412, 4416</v>
      </c>
      <c r="H247" s="19"/>
      <c r="I247" s="19"/>
      <c r="J247" s="19"/>
      <c r="K247" s="19" t="s">
        <v>70</v>
      </c>
      <c r="L247" s="19"/>
      <c r="M247" s="19"/>
      <c r="N247" s="19"/>
      <c r="O247" s="18" t="str">
        <f aca="false">C247&amp;" "&amp;D247&amp;" spare part - Efforts Engineers"</f>
        <v>Vilter VMC 440 Series Suction Valve Plate spare part - Efforts Engineers</v>
      </c>
      <c r="P247" s="16" t="str">
        <f aca="false">IFERROR("/"&amp;LOWER(B247)&amp;"/"&amp;INDEX(Series!$D$2:$D$30,MATCH(C247,Series!$B$2:$B$30,0))&amp;"/"&amp;INDEX(Part_Categories!$C$2:$C$18,MATCH(D247,Part_Categories!$B$2:$B$18,0)),"CHECK")</f>
        <v>/vilter/vmc-440/suction-valve-plate</v>
      </c>
      <c r="Q247" s="19"/>
    </row>
    <row r="248" customFormat="false" ht="23.85" hidden="false" customHeight="false" outlineLevel="0" collapsed="false">
      <c r="A248" s="16" t="n">
        <f aca="false">ROW()-1</f>
        <v>247</v>
      </c>
      <c r="B248" s="17" t="s">
        <v>77</v>
      </c>
      <c r="C248" s="17" t="s">
        <v>119</v>
      </c>
      <c r="D248" s="17" t="s">
        <v>98</v>
      </c>
      <c r="E248" s="16" t="str">
        <f aca="false">IFERROR(INDEX(Lists!$B$2:$B$7,MATCH(B248,Lists!$A$2:$A$7,0))&amp;"-"&amp;INDEX(Series!$C$2:$C$30,MATCH(C248,Series!$B$2:$B$30,0))&amp;"-"&amp;INDEX(Part_Categories!$A$2:$A$18,MATCH(D248,Part_Categories!$B$2:$B$18,0))&amp;"-01","CHECK")</f>
        <v>VIL-V440-DVA-01</v>
      </c>
      <c r="F248" s="16" t="str">
        <f aca="false">E248&amp;".jpg"</f>
        <v>VIL-V440-DVA-01.jpg</v>
      </c>
      <c r="G248" s="18" t="str">
        <f aca="false">IFERROR(INDEX(Series!$F$2:$F$30,MATCH(C248,Series!$B$2:$B$30,0)),"")</f>
        <v>442, 444, 446, 448, 4412, 4416</v>
      </c>
      <c r="H248" s="19"/>
      <c r="I248" s="19"/>
      <c r="J248" s="19"/>
      <c r="K248" s="19" t="s">
        <v>70</v>
      </c>
      <c r="L248" s="19"/>
      <c r="M248" s="19"/>
      <c r="N248" s="19"/>
      <c r="O248" s="18" t="str">
        <f aca="false">C248&amp;" "&amp;D248&amp;" spare part - Efforts Engineers"</f>
        <v>Vilter VMC 440 Series Discharge Valve Assembly spare part - Efforts Engineers</v>
      </c>
      <c r="P248" s="16" t="str">
        <f aca="false">IFERROR("/"&amp;LOWER(B248)&amp;"/"&amp;INDEX(Series!$D$2:$D$30,MATCH(C248,Series!$B$2:$B$30,0))&amp;"/"&amp;INDEX(Part_Categories!$C$2:$C$18,MATCH(D248,Part_Categories!$B$2:$B$18,0)),"CHECK")</f>
        <v>/vilter/vmc-440/discharge-valve-assembly</v>
      </c>
      <c r="Q248" s="19"/>
    </row>
    <row r="249" customFormat="false" ht="23.85" hidden="false" customHeight="false" outlineLevel="0" collapsed="false">
      <c r="A249" s="16" t="n">
        <f aca="false">ROW()-1</f>
        <v>248</v>
      </c>
      <c r="B249" s="17" t="s">
        <v>77</v>
      </c>
      <c r="C249" s="17" t="s">
        <v>119</v>
      </c>
      <c r="D249" s="17" t="s">
        <v>99</v>
      </c>
      <c r="E249" s="16" t="str">
        <f aca="false">IFERROR(INDEX(Lists!$B$2:$B$7,MATCH(B249,Lists!$A$2:$A$7,0))&amp;"-"&amp;INDEX(Series!$C$2:$C$30,MATCH(C249,Series!$B$2:$B$30,0))&amp;"-"&amp;INDEX(Part_Categories!$A$2:$A$18,MATCH(D249,Part_Categories!$B$2:$B$18,0))&amp;"-01","CHECK")</f>
        <v>VIL-V440-VSP-01</v>
      </c>
      <c r="F249" s="16" t="str">
        <f aca="false">E249&amp;".jpg"</f>
        <v>VIL-V440-VSP-01.jpg</v>
      </c>
      <c r="G249" s="18" t="str">
        <f aca="false">IFERROR(INDEX(Series!$F$2:$F$30,MATCH(C249,Series!$B$2:$B$30,0)),"")</f>
        <v>442, 444, 446, 448, 4412, 4416</v>
      </c>
      <c r="H249" s="19"/>
      <c r="I249" s="19"/>
      <c r="J249" s="19"/>
      <c r="K249" s="19" t="s">
        <v>70</v>
      </c>
      <c r="L249" s="19"/>
      <c r="M249" s="19"/>
      <c r="N249" s="19"/>
      <c r="O249" s="18" t="str">
        <f aca="false">C249&amp;" "&amp;D249&amp;" spare part - Efforts Engineers"</f>
        <v>Vilter VMC 440 Series Valve Spring and Cage spare part - Efforts Engineers</v>
      </c>
      <c r="P249" s="16" t="str">
        <f aca="false">IFERROR("/"&amp;LOWER(B249)&amp;"/"&amp;INDEX(Series!$D$2:$D$30,MATCH(C249,Series!$B$2:$B$30,0))&amp;"/"&amp;INDEX(Part_Categories!$C$2:$C$18,MATCH(D249,Part_Categories!$B$2:$B$18,0)),"CHECK")</f>
        <v>/vilter/vmc-440/valve-spring-and-cage</v>
      </c>
      <c r="Q249" s="19"/>
    </row>
    <row r="250" customFormat="false" ht="23.85" hidden="false" customHeight="false" outlineLevel="0" collapsed="false">
      <c r="A250" s="16" t="n">
        <f aca="false">ROW()-1</f>
        <v>249</v>
      </c>
      <c r="B250" s="17" t="s">
        <v>77</v>
      </c>
      <c r="C250" s="17" t="s">
        <v>119</v>
      </c>
      <c r="D250" s="17" t="s">
        <v>100</v>
      </c>
      <c r="E250" s="16" t="str">
        <f aca="false">IFERROR(INDEX(Lists!$B$2:$B$7,MATCH(B250,Lists!$A$2:$A$7,0))&amp;"-"&amp;INDEX(Series!$C$2:$C$30,MATCH(C250,Series!$B$2:$B$30,0))&amp;"-"&amp;INDEX(Part_Categories!$A$2:$A$18,MATCH(D250,Part_Categories!$B$2:$B$18,0))&amp;"-01","CHECK")</f>
        <v>VIL-V440-HDC-01</v>
      </c>
      <c r="F250" s="16" t="str">
        <f aca="false">E250&amp;".jpg"</f>
        <v>VIL-V440-HDC-01.jpg</v>
      </c>
      <c r="G250" s="18" t="str">
        <f aca="false">IFERROR(INDEX(Series!$F$2:$F$30,MATCH(C250,Series!$B$2:$B$30,0)),"")</f>
        <v>442, 444, 446, 448, 4412, 4416</v>
      </c>
      <c r="H250" s="19"/>
      <c r="I250" s="19"/>
      <c r="J250" s="19"/>
      <c r="K250" s="19" t="s">
        <v>70</v>
      </c>
      <c r="L250" s="19"/>
      <c r="M250" s="19"/>
      <c r="N250" s="19"/>
      <c r="O250" s="18" t="str">
        <f aca="false">C250&amp;" "&amp;D250&amp;" spare part - Efforts Engineers"</f>
        <v>Vilter VMC 440 Series Cylinder Head Cover spare part - Efforts Engineers</v>
      </c>
      <c r="P250" s="16" t="str">
        <f aca="false">IFERROR("/"&amp;LOWER(B250)&amp;"/"&amp;INDEX(Series!$D$2:$D$30,MATCH(C250,Series!$B$2:$B$30,0))&amp;"/"&amp;INDEX(Part_Categories!$C$2:$C$18,MATCH(D250,Part_Categories!$B$2:$B$18,0)),"CHECK")</f>
        <v>/vilter/vmc-440/cylinder-head-cover</v>
      </c>
      <c r="Q250" s="19"/>
    </row>
    <row r="251" customFormat="false" ht="23.85" hidden="false" customHeight="false" outlineLevel="0" collapsed="false">
      <c r="A251" s="16" t="n">
        <f aca="false">ROW()-1</f>
        <v>250</v>
      </c>
      <c r="B251" s="17" t="s">
        <v>77</v>
      </c>
      <c r="C251" s="17" t="s">
        <v>119</v>
      </c>
      <c r="D251" s="17" t="s">
        <v>101</v>
      </c>
      <c r="E251" s="16" t="str">
        <f aca="false">IFERROR(INDEX(Lists!$B$2:$B$7,MATCH(B251,Lists!$A$2:$A$7,0))&amp;"-"&amp;INDEX(Series!$C$2:$C$30,MATCH(C251,Series!$B$2:$B$30,0))&amp;"-"&amp;INDEX(Part_Categories!$A$2:$A$18,MATCH(D251,Part_Categories!$B$2:$B$18,0))&amp;"-01","CHECK")</f>
        <v>VIL-V440-GSK-01</v>
      </c>
      <c r="F251" s="16" t="str">
        <f aca="false">E251&amp;".jpg"</f>
        <v>VIL-V440-GSK-01.jpg</v>
      </c>
      <c r="G251" s="18" t="str">
        <f aca="false">IFERROR(INDEX(Series!$F$2:$F$30,MATCH(C251,Series!$B$2:$B$30,0)),"")</f>
        <v>442, 444, 446, 448, 4412, 4416</v>
      </c>
      <c r="H251" s="19"/>
      <c r="I251" s="19"/>
      <c r="J251" s="19"/>
      <c r="K251" s="19" t="s">
        <v>70</v>
      </c>
      <c r="L251" s="19"/>
      <c r="M251" s="19"/>
      <c r="N251" s="19"/>
      <c r="O251" s="18" t="str">
        <f aca="false">C251&amp;" "&amp;D251&amp;" spare part - Efforts Engineers"</f>
        <v>Vilter VMC 440 Series Gasket and Overhaul Kit spare part - Efforts Engineers</v>
      </c>
      <c r="P251" s="16" t="str">
        <f aca="false">IFERROR("/"&amp;LOWER(B251)&amp;"/"&amp;INDEX(Series!$D$2:$D$30,MATCH(C251,Series!$B$2:$B$30,0))&amp;"/"&amp;INDEX(Part_Categories!$C$2:$C$18,MATCH(D251,Part_Categories!$B$2:$B$18,0)),"CHECK")</f>
        <v>/vilter/vmc-440/gasket-and-overhaul-kit</v>
      </c>
      <c r="Q251" s="19"/>
    </row>
    <row r="252" customFormat="false" ht="23.85" hidden="false" customHeight="false" outlineLevel="0" collapsed="false">
      <c r="A252" s="16" t="n">
        <f aca="false">ROW()-1</f>
        <v>251</v>
      </c>
      <c r="B252" s="17" t="s">
        <v>77</v>
      </c>
      <c r="C252" s="17" t="s">
        <v>119</v>
      </c>
      <c r="D252" s="17" t="s">
        <v>102</v>
      </c>
      <c r="E252" s="16" t="str">
        <f aca="false">IFERROR(INDEX(Lists!$B$2:$B$7,MATCH(B252,Lists!$A$2:$A$7,0))&amp;"-"&amp;INDEX(Series!$C$2:$C$30,MATCH(C252,Series!$B$2:$B$30,0))&amp;"-"&amp;INDEX(Part_Categories!$A$2:$A$18,MATCH(D252,Part_Categories!$B$2:$B$18,0))&amp;"-01","CHECK")</f>
        <v>VIL-V440-OPA-01</v>
      </c>
      <c r="F252" s="16" t="str">
        <f aca="false">E252&amp;".jpg"</f>
        <v>VIL-V440-OPA-01.jpg</v>
      </c>
      <c r="G252" s="18" t="str">
        <f aca="false">IFERROR(INDEX(Series!$F$2:$F$30,MATCH(C252,Series!$B$2:$B$30,0)),"")</f>
        <v>442, 444, 446, 448, 4412, 4416</v>
      </c>
      <c r="H252" s="19"/>
      <c r="I252" s="19"/>
      <c r="J252" s="19"/>
      <c r="K252" s="19" t="s">
        <v>70</v>
      </c>
      <c r="L252" s="19"/>
      <c r="M252" s="19"/>
      <c r="N252" s="19"/>
      <c r="O252" s="18" t="str">
        <f aca="false">C252&amp;" "&amp;D252&amp;" spare part - Efforts Engineers"</f>
        <v>Vilter VMC 440 Series Oil Pump Assembly spare part - Efforts Engineers</v>
      </c>
      <c r="P252" s="16" t="str">
        <f aca="false">IFERROR("/"&amp;LOWER(B252)&amp;"/"&amp;INDEX(Series!$D$2:$D$30,MATCH(C252,Series!$B$2:$B$30,0))&amp;"/"&amp;INDEX(Part_Categories!$C$2:$C$18,MATCH(D252,Part_Categories!$B$2:$B$18,0)),"CHECK")</f>
        <v>/vilter/vmc-440/oil-pump-assembly</v>
      </c>
      <c r="Q252" s="19"/>
    </row>
    <row r="253" customFormat="false" ht="23.85" hidden="false" customHeight="false" outlineLevel="0" collapsed="false">
      <c r="A253" s="16" t="n">
        <f aca="false">ROW()-1</f>
        <v>252</v>
      </c>
      <c r="B253" s="17" t="s">
        <v>77</v>
      </c>
      <c r="C253" s="17" t="s">
        <v>119</v>
      </c>
      <c r="D253" s="17" t="s">
        <v>103</v>
      </c>
      <c r="E253" s="16" t="str">
        <f aca="false">IFERROR(INDEX(Lists!$B$2:$B$7,MATCH(B253,Lists!$A$2:$A$7,0))&amp;"-"&amp;INDEX(Series!$C$2:$C$30,MATCH(C253,Series!$B$2:$B$30,0))&amp;"-"&amp;INDEX(Part_Categories!$A$2:$A$18,MATCH(D253,Part_Categories!$B$2:$B$18,0))&amp;"-01","CHECK")</f>
        <v>VIL-V440-SHS-01</v>
      </c>
      <c r="F253" s="16" t="str">
        <f aca="false">E253&amp;".jpg"</f>
        <v>VIL-V440-SHS-01.jpg</v>
      </c>
      <c r="G253" s="18" t="str">
        <f aca="false">IFERROR(INDEX(Series!$F$2:$F$30,MATCH(C253,Series!$B$2:$B$30,0)),"")</f>
        <v>442, 444, 446, 448, 4412, 4416</v>
      </c>
      <c r="H253" s="19"/>
      <c r="I253" s="19"/>
      <c r="J253" s="19"/>
      <c r="K253" s="19" t="s">
        <v>70</v>
      </c>
      <c r="L253" s="19"/>
      <c r="M253" s="19"/>
      <c r="N253" s="19"/>
      <c r="O253" s="18" t="str">
        <f aca="false">C253&amp;" "&amp;D253&amp;" spare part - Efforts Engineers"</f>
        <v>Vilter VMC 440 Series Shaft Seal spare part - Efforts Engineers</v>
      </c>
      <c r="P253" s="16" t="str">
        <f aca="false">IFERROR("/"&amp;LOWER(B253)&amp;"/"&amp;INDEX(Series!$D$2:$D$30,MATCH(C253,Series!$B$2:$B$30,0))&amp;"/"&amp;INDEX(Part_Categories!$C$2:$C$18,MATCH(D253,Part_Categories!$B$2:$B$18,0)),"CHECK")</f>
        <v>/vilter/vmc-440/shaft-seal</v>
      </c>
      <c r="Q253" s="19"/>
    </row>
    <row r="254" customFormat="false" ht="23.85" hidden="false" customHeight="false" outlineLevel="0" collapsed="false">
      <c r="A254" s="16" t="n">
        <f aca="false">ROW()-1</f>
        <v>253</v>
      </c>
      <c r="B254" s="17" t="s">
        <v>77</v>
      </c>
      <c r="C254" s="17" t="s">
        <v>119</v>
      </c>
      <c r="D254" s="17" t="s">
        <v>104</v>
      </c>
      <c r="E254" s="16" t="str">
        <f aca="false">IFERROR(INDEX(Lists!$B$2:$B$7,MATCH(B254,Lists!$A$2:$A$7,0))&amp;"-"&amp;INDEX(Series!$C$2:$C$30,MATCH(C254,Series!$B$2:$B$30,0))&amp;"-"&amp;INDEX(Part_Categories!$A$2:$A$18,MATCH(D254,Part_Categories!$B$2:$B$18,0))&amp;"-01","CHECK")</f>
        <v>VIL-V440-FLT-01</v>
      </c>
      <c r="F254" s="16" t="str">
        <f aca="false">E254&amp;".jpg"</f>
        <v>VIL-V440-FLT-01.jpg</v>
      </c>
      <c r="G254" s="18" t="str">
        <f aca="false">IFERROR(INDEX(Series!$F$2:$F$30,MATCH(C254,Series!$B$2:$B$30,0)),"")</f>
        <v>442, 444, 446, 448, 4412, 4416</v>
      </c>
      <c r="H254" s="19"/>
      <c r="I254" s="19"/>
      <c r="J254" s="19"/>
      <c r="K254" s="19" t="s">
        <v>70</v>
      </c>
      <c r="L254" s="19"/>
      <c r="M254" s="19"/>
      <c r="N254" s="19"/>
      <c r="O254" s="18" t="str">
        <f aca="false">C254&amp;" "&amp;D254&amp;" spare part - Efforts Engineers"</f>
        <v>Vilter VMC 440 Series Oil Filter and Strainer spare part - Efforts Engineers</v>
      </c>
      <c r="P254" s="16" t="str">
        <f aca="false">IFERROR("/"&amp;LOWER(B254)&amp;"/"&amp;INDEX(Series!$D$2:$D$30,MATCH(C254,Series!$B$2:$B$30,0))&amp;"/"&amp;INDEX(Part_Categories!$C$2:$C$18,MATCH(D254,Part_Categories!$B$2:$B$18,0)),"CHECK")</f>
        <v>/vilter/vmc-440/oil-filter-and-strainer</v>
      </c>
      <c r="Q254" s="19"/>
    </row>
    <row r="255" customFormat="false" ht="23.85" hidden="false" customHeight="false" outlineLevel="0" collapsed="false">
      <c r="A255" s="16" t="n">
        <f aca="false">ROW()-1</f>
        <v>254</v>
      </c>
      <c r="B255" s="17" t="s">
        <v>77</v>
      </c>
      <c r="C255" s="17" t="s">
        <v>119</v>
      </c>
      <c r="D255" s="17" t="s">
        <v>105</v>
      </c>
      <c r="E255" s="16" t="str">
        <f aca="false">IFERROR(INDEX(Lists!$B$2:$B$7,MATCH(B255,Lists!$A$2:$A$7,0))&amp;"-"&amp;INDEX(Series!$C$2:$C$30,MATCH(C255,Series!$B$2:$B$30,0))&amp;"-"&amp;INDEX(Part_Categories!$A$2:$A$18,MATCH(D255,Part_Categories!$B$2:$B$18,0))&amp;"-01","CHECK")</f>
        <v>VIL-V440-ULD-01</v>
      </c>
      <c r="F255" s="16" t="str">
        <f aca="false">E255&amp;".jpg"</f>
        <v>VIL-V440-ULD-01.jpg</v>
      </c>
      <c r="G255" s="18" t="str">
        <f aca="false">IFERROR(INDEX(Series!$F$2:$F$30,MATCH(C255,Series!$B$2:$B$30,0)),"")</f>
        <v>442, 444, 446, 448, 4412, 4416</v>
      </c>
      <c r="H255" s="19"/>
      <c r="I255" s="19"/>
      <c r="J255" s="19"/>
      <c r="K255" s="19" t="s">
        <v>70</v>
      </c>
      <c r="L255" s="19"/>
      <c r="M255" s="19"/>
      <c r="N255" s="19"/>
      <c r="O255" s="18" t="str">
        <f aca="false">C255&amp;" "&amp;D255&amp;" spare part - Efforts Engineers"</f>
        <v>Vilter VMC 440 Series Unloader and Capacity Control spare part - Efforts Engineers</v>
      </c>
      <c r="P255" s="16" t="str">
        <f aca="false">IFERROR("/"&amp;LOWER(B255)&amp;"/"&amp;INDEX(Series!$D$2:$D$30,MATCH(C255,Series!$B$2:$B$30,0))&amp;"/"&amp;INDEX(Part_Categories!$C$2:$C$18,MATCH(D255,Part_Categories!$B$2:$B$18,0)),"CHECK")</f>
        <v>/vilter/vmc-440/unloader-and-capacity-control</v>
      </c>
      <c r="Q255" s="19"/>
    </row>
    <row r="256" customFormat="false" ht="23.85" hidden="false" customHeight="false" outlineLevel="0" collapsed="false">
      <c r="A256" s="16" t="n">
        <f aca="false">ROW()-1</f>
        <v>255</v>
      </c>
      <c r="B256" s="17" t="s">
        <v>77</v>
      </c>
      <c r="C256" s="17" t="s">
        <v>119</v>
      </c>
      <c r="D256" s="17" t="s">
        <v>106</v>
      </c>
      <c r="E256" s="16" t="str">
        <f aca="false">IFERROR(INDEX(Lists!$B$2:$B$7,MATCH(B256,Lists!$A$2:$A$7,0))&amp;"-"&amp;INDEX(Series!$C$2:$C$30,MATCH(C256,Series!$B$2:$B$30,0))&amp;"-"&amp;INDEX(Part_Categories!$A$2:$A$18,MATCH(D256,Part_Categories!$B$2:$B$18,0))&amp;"-01","CHECK")</f>
        <v>VIL-V440-SAF-01</v>
      </c>
      <c r="F256" s="16" t="str">
        <f aca="false">E256&amp;".jpg"</f>
        <v>VIL-V440-SAF-01.jpg</v>
      </c>
      <c r="G256" s="18" t="str">
        <f aca="false">IFERROR(INDEX(Series!$F$2:$F$30,MATCH(C256,Series!$B$2:$B$30,0)),"")</f>
        <v>442, 444, 446, 448, 4412, 4416</v>
      </c>
      <c r="H256" s="19"/>
      <c r="I256" s="19"/>
      <c r="J256" s="19"/>
      <c r="K256" s="19" t="s">
        <v>70</v>
      </c>
      <c r="L256" s="19"/>
      <c r="M256" s="19"/>
      <c r="N256" s="19"/>
      <c r="O256" s="18" t="str">
        <f aca="false">C256&amp;" "&amp;D256&amp;" spare part - Efforts Engineers"</f>
        <v>Vilter VMC 440 Series Safety Head and Relief Valve spare part - Efforts Engineers</v>
      </c>
      <c r="P256" s="16" t="str">
        <f aca="false">IFERROR("/"&amp;LOWER(B256)&amp;"/"&amp;INDEX(Series!$D$2:$D$30,MATCH(C256,Series!$B$2:$B$30,0))&amp;"/"&amp;INDEX(Part_Categories!$C$2:$C$18,MATCH(D256,Part_Categories!$B$2:$B$18,0)),"CHECK")</f>
        <v>/vilter/vmc-440/safety-head-and-relief-valve</v>
      </c>
      <c r="Q256" s="19"/>
    </row>
    <row r="257" customFormat="false" ht="23.85" hidden="false" customHeight="false" outlineLevel="0" collapsed="false">
      <c r="A257" s="16" t="n">
        <f aca="false">ROW()-1</f>
        <v>256</v>
      </c>
      <c r="B257" s="17" t="s">
        <v>77</v>
      </c>
      <c r="C257" s="17" t="s">
        <v>120</v>
      </c>
      <c r="D257" s="17" t="s">
        <v>58</v>
      </c>
      <c r="E257" s="16" t="str">
        <f aca="false">IFERROR(INDEX(Lists!$B$2:$B$7,MATCH(B257,Lists!$A$2:$A$7,0))&amp;"-"&amp;INDEX(Series!$C$2:$C$30,MATCH(C257,Series!$B$2:$B$30,0))&amp;"-"&amp;INDEX(Part_Categories!$A$2:$A$18,MATCH(D257,Part_Categories!$B$2:$B$18,0))&amp;"-01","CHECK")</f>
        <v>VIL-V450XL-CLN-01</v>
      </c>
      <c r="F257" s="16" t="str">
        <f aca="false">E257&amp;".jpg"</f>
        <v>VIL-V450XL-CLN-01.jpg</v>
      </c>
      <c r="G257" s="18" t="str">
        <f aca="false">IFERROR(INDEX(Series!$F$2:$F$30,MATCH(C257,Series!$B$2:$B$30,0)),"")</f>
        <v>452 XL, 454 XL, 456 XL, 458 XL, 458, 4512 XL, 4516 XL</v>
      </c>
      <c r="H257" s="19"/>
      <c r="I257" s="19"/>
      <c r="J257" s="19"/>
      <c r="K257" s="19" t="s">
        <v>70</v>
      </c>
      <c r="L257" s="19"/>
      <c r="M257" s="19"/>
      <c r="N257" s="19"/>
      <c r="O257" s="18" t="str">
        <f aca="false">C257&amp;" "&amp;D257&amp;" spare part - Efforts Engineers"</f>
        <v>Vilter VMC 450 XL Series Cylinder Liner spare part - Efforts Engineers</v>
      </c>
      <c r="P257" s="16" t="str">
        <f aca="false">IFERROR("/"&amp;LOWER(B257)&amp;"/"&amp;INDEX(Series!$D$2:$D$30,MATCH(C257,Series!$B$2:$B$30,0))&amp;"/"&amp;INDEX(Part_Categories!$C$2:$C$18,MATCH(D257,Part_Categories!$B$2:$B$18,0)),"CHECK")</f>
        <v>/vilter/vmc-450-xl/cylinder-liner</v>
      </c>
      <c r="Q257" s="19"/>
    </row>
    <row r="258" customFormat="false" ht="23.85" hidden="false" customHeight="false" outlineLevel="0" collapsed="false">
      <c r="A258" s="16" t="n">
        <f aca="false">ROW()-1</f>
        <v>257</v>
      </c>
      <c r="B258" s="17" t="s">
        <v>77</v>
      </c>
      <c r="C258" s="17" t="s">
        <v>120</v>
      </c>
      <c r="D258" s="17" t="s">
        <v>91</v>
      </c>
      <c r="E258" s="16" t="str">
        <f aca="false">IFERROR(INDEX(Lists!$B$2:$B$7,MATCH(B258,Lists!$A$2:$A$7,0))&amp;"-"&amp;INDEX(Series!$C$2:$C$30,MATCH(C258,Series!$B$2:$B$30,0))&amp;"-"&amp;INDEX(Part_Categories!$A$2:$A$18,MATCH(D258,Part_Categories!$B$2:$B$18,0))&amp;"-01","CHECK")</f>
        <v>VIL-V450XL-PST-01</v>
      </c>
      <c r="F258" s="16" t="str">
        <f aca="false">E258&amp;".jpg"</f>
        <v>VIL-V450XL-PST-01.jpg</v>
      </c>
      <c r="G258" s="18" t="str">
        <f aca="false">IFERROR(INDEX(Series!$F$2:$F$30,MATCH(C258,Series!$B$2:$B$30,0)),"")</f>
        <v>452 XL, 454 XL, 456 XL, 458 XL, 458, 4512 XL, 4516 XL</v>
      </c>
      <c r="H258" s="19"/>
      <c r="I258" s="19"/>
      <c r="J258" s="19"/>
      <c r="K258" s="19" t="s">
        <v>70</v>
      </c>
      <c r="L258" s="19"/>
      <c r="M258" s="19"/>
      <c r="N258" s="19"/>
      <c r="O258" s="18" t="str">
        <f aca="false">C258&amp;" "&amp;D258&amp;" spare part - Efforts Engineers"</f>
        <v>Vilter VMC 450 XL Series Piston Assembly spare part - Efforts Engineers</v>
      </c>
      <c r="P258" s="16" t="str">
        <f aca="false">IFERROR("/"&amp;LOWER(B258)&amp;"/"&amp;INDEX(Series!$D$2:$D$30,MATCH(C258,Series!$B$2:$B$30,0))&amp;"/"&amp;INDEX(Part_Categories!$C$2:$C$18,MATCH(D258,Part_Categories!$B$2:$B$18,0)),"CHECK")</f>
        <v>/vilter/vmc-450-xl/piston-assembly</v>
      </c>
      <c r="Q258" s="19"/>
    </row>
    <row r="259" customFormat="false" ht="23.85" hidden="false" customHeight="false" outlineLevel="0" collapsed="false">
      <c r="A259" s="16" t="n">
        <f aca="false">ROW()-1</f>
        <v>258</v>
      </c>
      <c r="B259" s="17" t="s">
        <v>77</v>
      </c>
      <c r="C259" s="17" t="s">
        <v>120</v>
      </c>
      <c r="D259" s="17" t="s">
        <v>92</v>
      </c>
      <c r="E259" s="16" t="str">
        <f aca="false">IFERROR(INDEX(Lists!$B$2:$B$7,MATCH(B259,Lists!$A$2:$A$7,0))&amp;"-"&amp;INDEX(Series!$C$2:$C$30,MATCH(C259,Series!$B$2:$B$30,0))&amp;"-"&amp;INDEX(Part_Categories!$A$2:$A$18,MATCH(D259,Part_Categories!$B$2:$B$18,0))&amp;"-01","CHECK")</f>
        <v>VIL-V450XL-PRG-01</v>
      </c>
      <c r="F259" s="16" t="str">
        <f aca="false">E259&amp;".jpg"</f>
        <v>VIL-V450XL-PRG-01.jpg</v>
      </c>
      <c r="G259" s="18" t="str">
        <f aca="false">IFERROR(INDEX(Series!$F$2:$F$30,MATCH(C259,Series!$B$2:$B$30,0)),"")</f>
        <v>452 XL, 454 XL, 456 XL, 458 XL, 458, 4512 XL, 4516 XL</v>
      </c>
      <c r="H259" s="19"/>
      <c r="I259" s="19"/>
      <c r="J259" s="19"/>
      <c r="K259" s="19" t="s">
        <v>70</v>
      </c>
      <c r="L259" s="19"/>
      <c r="M259" s="19"/>
      <c r="N259" s="19"/>
      <c r="O259" s="18" t="str">
        <f aca="false">C259&amp;" "&amp;D259&amp;" spare part - Efforts Engineers"</f>
        <v>Vilter VMC 450 XL Series Piston Ring Set spare part - Efforts Engineers</v>
      </c>
      <c r="P259" s="16" t="str">
        <f aca="false">IFERROR("/"&amp;LOWER(B259)&amp;"/"&amp;INDEX(Series!$D$2:$D$30,MATCH(C259,Series!$B$2:$B$30,0))&amp;"/"&amp;INDEX(Part_Categories!$C$2:$C$18,MATCH(D259,Part_Categories!$B$2:$B$18,0)),"CHECK")</f>
        <v>/vilter/vmc-450-xl/piston-ring-set</v>
      </c>
      <c r="Q259" s="19"/>
    </row>
    <row r="260" customFormat="false" ht="23.85" hidden="false" customHeight="false" outlineLevel="0" collapsed="false">
      <c r="A260" s="16" t="n">
        <f aca="false">ROW()-1</f>
        <v>259</v>
      </c>
      <c r="B260" s="17" t="s">
        <v>77</v>
      </c>
      <c r="C260" s="17" t="s">
        <v>120</v>
      </c>
      <c r="D260" s="17" t="s">
        <v>93</v>
      </c>
      <c r="E260" s="16" t="str">
        <f aca="false">IFERROR(INDEX(Lists!$B$2:$B$7,MATCH(B260,Lists!$A$2:$A$7,0))&amp;"-"&amp;INDEX(Series!$C$2:$C$30,MATCH(C260,Series!$B$2:$B$30,0))&amp;"-"&amp;INDEX(Part_Categories!$A$2:$A$18,MATCH(D260,Part_Categories!$B$2:$B$18,0))&amp;"-01","CHECK")</f>
        <v>VIL-V450XL-CRD-01</v>
      </c>
      <c r="F260" s="16" t="str">
        <f aca="false">E260&amp;".jpg"</f>
        <v>VIL-V450XL-CRD-01.jpg</v>
      </c>
      <c r="G260" s="18" t="str">
        <f aca="false">IFERROR(INDEX(Series!$F$2:$F$30,MATCH(C260,Series!$B$2:$B$30,0)),"")</f>
        <v>452 XL, 454 XL, 456 XL, 458 XL, 458, 4512 XL, 4516 XL</v>
      </c>
      <c r="H260" s="19"/>
      <c r="I260" s="19"/>
      <c r="J260" s="19"/>
      <c r="K260" s="19" t="s">
        <v>70</v>
      </c>
      <c r="L260" s="19"/>
      <c r="M260" s="19"/>
      <c r="N260" s="19"/>
      <c r="O260" s="18" t="str">
        <f aca="false">C260&amp;" "&amp;D260&amp;" spare part - Efforts Engineers"</f>
        <v>Vilter VMC 450 XL Series Connecting Rod spare part - Efforts Engineers</v>
      </c>
      <c r="P260" s="16" t="str">
        <f aca="false">IFERROR("/"&amp;LOWER(B260)&amp;"/"&amp;INDEX(Series!$D$2:$D$30,MATCH(C260,Series!$B$2:$B$30,0))&amp;"/"&amp;INDEX(Part_Categories!$C$2:$C$18,MATCH(D260,Part_Categories!$B$2:$B$18,0)),"CHECK")</f>
        <v>/vilter/vmc-450-xl/connecting-rod</v>
      </c>
      <c r="Q260" s="19"/>
    </row>
    <row r="261" customFormat="false" ht="23.85" hidden="false" customHeight="false" outlineLevel="0" collapsed="false">
      <c r="A261" s="16" t="n">
        <f aca="false">ROW()-1</f>
        <v>260</v>
      </c>
      <c r="B261" s="17" t="s">
        <v>77</v>
      </c>
      <c r="C261" s="17" t="s">
        <v>120</v>
      </c>
      <c r="D261" s="17" t="s">
        <v>94</v>
      </c>
      <c r="E261" s="16" t="str">
        <f aca="false">IFERROR(INDEX(Lists!$B$2:$B$7,MATCH(B261,Lists!$A$2:$A$7,0))&amp;"-"&amp;INDEX(Series!$C$2:$C$30,MATCH(C261,Series!$B$2:$B$30,0))&amp;"-"&amp;INDEX(Part_Categories!$A$2:$A$18,MATCH(D261,Part_Categories!$B$2:$B$18,0))&amp;"-01","CHECK")</f>
        <v>VIL-V450XL-CRK-01</v>
      </c>
      <c r="F261" s="16" t="str">
        <f aca="false">E261&amp;".jpg"</f>
        <v>VIL-V450XL-CRK-01.jpg</v>
      </c>
      <c r="G261" s="18" t="str">
        <f aca="false">IFERROR(INDEX(Series!$F$2:$F$30,MATCH(C261,Series!$B$2:$B$30,0)),"")</f>
        <v>452 XL, 454 XL, 456 XL, 458 XL, 458, 4512 XL, 4516 XL</v>
      </c>
      <c r="H261" s="19"/>
      <c r="I261" s="19"/>
      <c r="J261" s="19"/>
      <c r="K261" s="19" t="s">
        <v>70</v>
      </c>
      <c r="L261" s="19"/>
      <c r="M261" s="19"/>
      <c r="N261" s="19"/>
      <c r="O261" s="18" t="str">
        <f aca="false">C261&amp;" "&amp;D261&amp;" spare part - Efforts Engineers"</f>
        <v>Vilter VMC 450 XL Series Crankshaft spare part - Efforts Engineers</v>
      </c>
      <c r="P261" s="16" t="str">
        <f aca="false">IFERROR("/"&amp;LOWER(B261)&amp;"/"&amp;INDEX(Series!$D$2:$D$30,MATCH(C261,Series!$B$2:$B$30,0))&amp;"/"&amp;INDEX(Part_Categories!$C$2:$C$18,MATCH(D261,Part_Categories!$B$2:$B$18,0)),"CHECK")</f>
        <v>/vilter/vmc-450-xl/crankshaft</v>
      </c>
      <c r="Q261" s="19"/>
    </row>
    <row r="262" customFormat="false" ht="23.85" hidden="false" customHeight="false" outlineLevel="0" collapsed="false">
      <c r="A262" s="16" t="n">
        <f aca="false">ROW()-1</f>
        <v>261</v>
      </c>
      <c r="B262" s="17" t="s">
        <v>77</v>
      </c>
      <c r="C262" s="17" t="s">
        <v>120</v>
      </c>
      <c r="D262" s="17" t="s">
        <v>95</v>
      </c>
      <c r="E262" s="16" t="str">
        <f aca="false">IFERROR(INDEX(Lists!$B$2:$B$7,MATCH(B262,Lists!$A$2:$A$7,0))&amp;"-"&amp;INDEX(Series!$C$2:$C$30,MATCH(C262,Series!$B$2:$B$30,0))&amp;"-"&amp;INDEX(Part_Categories!$A$2:$A$18,MATCH(D262,Part_Categories!$B$2:$B$18,0))&amp;"-01","CHECK")</f>
        <v>VIL-V450XL-PIN-01</v>
      </c>
      <c r="F262" s="16" t="str">
        <f aca="false">E262&amp;".jpg"</f>
        <v>VIL-V450XL-PIN-01.jpg</v>
      </c>
      <c r="G262" s="18" t="str">
        <f aca="false">IFERROR(INDEX(Series!$F$2:$F$30,MATCH(C262,Series!$B$2:$B$30,0)),"")</f>
        <v>452 XL, 454 XL, 456 XL, 458 XL, 458, 4512 XL, 4516 XL</v>
      </c>
      <c r="H262" s="19"/>
      <c r="I262" s="19"/>
      <c r="J262" s="19"/>
      <c r="K262" s="19" t="s">
        <v>70</v>
      </c>
      <c r="L262" s="19"/>
      <c r="M262" s="19"/>
      <c r="N262" s="19"/>
      <c r="O262" s="18" t="str">
        <f aca="false">C262&amp;" "&amp;D262&amp;" spare part - Efforts Engineers"</f>
        <v>Vilter VMC 450 XL Series Gudgeon Pin and Bush spare part - Efforts Engineers</v>
      </c>
      <c r="P262" s="16" t="str">
        <f aca="false">IFERROR("/"&amp;LOWER(B262)&amp;"/"&amp;INDEX(Series!$D$2:$D$30,MATCH(C262,Series!$B$2:$B$30,0))&amp;"/"&amp;INDEX(Part_Categories!$C$2:$C$18,MATCH(D262,Part_Categories!$B$2:$B$18,0)),"CHECK")</f>
        <v>/vilter/vmc-450-xl/gudgeon-pin-and-bush</v>
      </c>
      <c r="Q262" s="19"/>
    </row>
    <row r="263" customFormat="false" ht="23.85" hidden="false" customHeight="false" outlineLevel="0" collapsed="false">
      <c r="A263" s="16" t="n">
        <f aca="false">ROW()-1</f>
        <v>262</v>
      </c>
      <c r="B263" s="17" t="s">
        <v>77</v>
      </c>
      <c r="C263" s="17" t="s">
        <v>120</v>
      </c>
      <c r="D263" s="17" t="s">
        <v>96</v>
      </c>
      <c r="E263" s="16" t="str">
        <f aca="false">IFERROR(INDEX(Lists!$B$2:$B$7,MATCH(B263,Lists!$A$2:$A$7,0))&amp;"-"&amp;INDEX(Series!$C$2:$C$30,MATCH(C263,Series!$B$2:$B$30,0))&amp;"-"&amp;INDEX(Part_Categories!$A$2:$A$18,MATCH(D263,Part_Categories!$B$2:$B$18,0))&amp;"-01","CHECK")</f>
        <v>VIL-V450XL-BRG-01</v>
      </c>
      <c r="F263" s="16" t="str">
        <f aca="false">E263&amp;".jpg"</f>
        <v>VIL-V450XL-BRG-01.jpg</v>
      </c>
      <c r="G263" s="18" t="str">
        <f aca="false">IFERROR(INDEX(Series!$F$2:$F$30,MATCH(C263,Series!$B$2:$B$30,0)),"")</f>
        <v>452 XL, 454 XL, 456 XL, 458 XL, 458, 4512 XL, 4516 XL</v>
      </c>
      <c r="H263" s="19"/>
      <c r="I263" s="19"/>
      <c r="J263" s="19"/>
      <c r="K263" s="19" t="s">
        <v>70</v>
      </c>
      <c r="L263" s="19"/>
      <c r="M263" s="19"/>
      <c r="N263" s="19"/>
      <c r="O263" s="18" t="str">
        <f aca="false">C263&amp;" "&amp;D263&amp;" spare part - Efforts Engineers"</f>
        <v>Vilter VMC 450 XL Series Main Bearing and Bush spare part - Efforts Engineers</v>
      </c>
      <c r="P263" s="16" t="str">
        <f aca="false">IFERROR("/"&amp;LOWER(B263)&amp;"/"&amp;INDEX(Series!$D$2:$D$30,MATCH(C263,Series!$B$2:$B$30,0))&amp;"/"&amp;INDEX(Part_Categories!$C$2:$C$18,MATCH(D263,Part_Categories!$B$2:$B$18,0)),"CHECK")</f>
        <v>/vilter/vmc-450-xl/main-bearing-and-bush</v>
      </c>
      <c r="Q263" s="19"/>
    </row>
    <row r="264" customFormat="false" ht="23.85" hidden="false" customHeight="false" outlineLevel="0" collapsed="false">
      <c r="A264" s="16" t="n">
        <f aca="false">ROW()-1</f>
        <v>263</v>
      </c>
      <c r="B264" s="17" t="s">
        <v>77</v>
      </c>
      <c r="C264" s="17" t="s">
        <v>120</v>
      </c>
      <c r="D264" s="17" t="s">
        <v>97</v>
      </c>
      <c r="E264" s="16" t="str">
        <f aca="false">IFERROR(INDEX(Lists!$B$2:$B$7,MATCH(B264,Lists!$A$2:$A$7,0))&amp;"-"&amp;INDEX(Series!$C$2:$C$30,MATCH(C264,Series!$B$2:$B$30,0))&amp;"-"&amp;INDEX(Part_Categories!$A$2:$A$18,MATCH(D264,Part_Categories!$B$2:$B$18,0))&amp;"-01","CHECK")</f>
        <v>VIL-V450XL-SVP-01</v>
      </c>
      <c r="F264" s="16" t="str">
        <f aca="false">E264&amp;".jpg"</f>
        <v>VIL-V450XL-SVP-01.jpg</v>
      </c>
      <c r="G264" s="18" t="str">
        <f aca="false">IFERROR(INDEX(Series!$F$2:$F$30,MATCH(C264,Series!$B$2:$B$30,0)),"")</f>
        <v>452 XL, 454 XL, 456 XL, 458 XL, 458, 4512 XL, 4516 XL</v>
      </c>
      <c r="H264" s="19"/>
      <c r="I264" s="19"/>
      <c r="J264" s="19"/>
      <c r="K264" s="19" t="s">
        <v>70</v>
      </c>
      <c r="L264" s="19"/>
      <c r="M264" s="19"/>
      <c r="N264" s="19"/>
      <c r="O264" s="18" t="str">
        <f aca="false">C264&amp;" "&amp;D264&amp;" spare part - Efforts Engineers"</f>
        <v>Vilter VMC 450 XL Series Suction Valve Plate spare part - Efforts Engineers</v>
      </c>
      <c r="P264" s="16" t="str">
        <f aca="false">IFERROR("/"&amp;LOWER(B264)&amp;"/"&amp;INDEX(Series!$D$2:$D$30,MATCH(C264,Series!$B$2:$B$30,0))&amp;"/"&amp;INDEX(Part_Categories!$C$2:$C$18,MATCH(D264,Part_Categories!$B$2:$B$18,0)),"CHECK")</f>
        <v>/vilter/vmc-450-xl/suction-valve-plate</v>
      </c>
      <c r="Q264" s="19"/>
    </row>
    <row r="265" customFormat="false" ht="23.85" hidden="false" customHeight="false" outlineLevel="0" collapsed="false">
      <c r="A265" s="16" t="n">
        <f aca="false">ROW()-1</f>
        <v>264</v>
      </c>
      <c r="B265" s="17" t="s">
        <v>77</v>
      </c>
      <c r="C265" s="17" t="s">
        <v>120</v>
      </c>
      <c r="D265" s="17" t="s">
        <v>98</v>
      </c>
      <c r="E265" s="16" t="str">
        <f aca="false">IFERROR(INDEX(Lists!$B$2:$B$7,MATCH(B265,Lists!$A$2:$A$7,0))&amp;"-"&amp;INDEX(Series!$C$2:$C$30,MATCH(C265,Series!$B$2:$B$30,0))&amp;"-"&amp;INDEX(Part_Categories!$A$2:$A$18,MATCH(D265,Part_Categories!$B$2:$B$18,0))&amp;"-01","CHECK")</f>
        <v>VIL-V450XL-DVA-01</v>
      </c>
      <c r="F265" s="16" t="str">
        <f aca="false">E265&amp;".jpg"</f>
        <v>VIL-V450XL-DVA-01.jpg</v>
      </c>
      <c r="G265" s="18" t="str">
        <f aca="false">IFERROR(INDEX(Series!$F$2:$F$30,MATCH(C265,Series!$B$2:$B$30,0)),"")</f>
        <v>452 XL, 454 XL, 456 XL, 458 XL, 458, 4512 XL, 4516 XL</v>
      </c>
      <c r="H265" s="19"/>
      <c r="I265" s="19"/>
      <c r="J265" s="19"/>
      <c r="K265" s="19" t="s">
        <v>70</v>
      </c>
      <c r="L265" s="19"/>
      <c r="M265" s="19"/>
      <c r="N265" s="19"/>
      <c r="O265" s="18" t="str">
        <f aca="false">C265&amp;" "&amp;D265&amp;" spare part - Efforts Engineers"</f>
        <v>Vilter VMC 450 XL Series Discharge Valve Assembly spare part - Efforts Engineers</v>
      </c>
      <c r="P265" s="16" t="str">
        <f aca="false">IFERROR("/"&amp;LOWER(B265)&amp;"/"&amp;INDEX(Series!$D$2:$D$30,MATCH(C265,Series!$B$2:$B$30,0))&amp;"/"&amp;INDEX(Part_Categories!$C$2:$C$18,MATCH(D265,Part_Categories!$B$2:$B$18,0)),"CHECK")</f>
        <v>/vilter/vmc-450-xl/discharge-valve-assembly</v>
      </c>
      <c r="Q265" s="19"/>
    </row>
    <row r="266" customFormat="false" ht="23.85" hidden="false" customHeight="false" outlineLevel="0" collapsed="false">
      <c r="A266" s="16" t="n">
        <f aca="false">ROW()-1</f>
        <v>265</v>
      </c>
      <c r="B266" s="17" t="s">
        <v>77</v>
      </c>
      <c r="C266" s="17" t="s">
        <v>120</v>
      </c>
      <c r="D266" s="17" t="s">
        <v>99</v>
      </c>
      <c r="E266" s="16" t="str">
        <f aca="false">IFERROR(INDEX(Lists!$B$2:$B$7,MATCH(B266,Lists!$A$2:$A$7,0))&amp;"-"&amp;INDEX(Series!$C$2:$C$30,MATCH(C266,Series!$B$2:$B$30,0))&amp;"-"&amp;INDEX(Part_Categories!$A$2:$A$18,MATCH(D266,Part_Categories!$B$2:$B$18,0))&amp;"-01","CHECK")</f>
        <v>VIL-V450XL-VSP-01</v>
      </c>
      <c r="F266" s="16" t="str">
        <f aca="false">E266&amp;".jpg"</f>
        <v>VIL-V450XL-VSP-01.jpg</v>
      </c>
      <c r="G266" s="18" t="str">
        <f aca="false">IFERROR(INDEX(Series!$F$2:$F$30,MATCH(C266,Series!$B$2:$B$30,0)),"")</f>
        <v>452 XL, 454 XL, 456 XL, 458 XL, 458, 4512 XL, 4516 XL</v>
      </c>
      <c r="H266" s="19"/>
      <c r="I266" s="19"/>
      <c r="J266" s="19"/>
      <c r="K266" s="19" t="s">
        <v>70</v>
      </c>
      <c r="L266" s="19"/>
      <c r="M266" s="19"/>
      <c r="N266" s="19"/>
      <c r="O266" s="18" t="str">
        <f aca="false">C266&amp;" "&amp;D266&amp;" spare part - Efforts Engineers"</f>
        <v>Vilter VMC 450 XL Series Valve Spring and Cage spare part - Efforts Engineers</v>
      </c>
      <c r="P266" s="16" t="str">
        <f aca="false">IFERROR("/"&amp;LOWER(B266)&amp;"/"&amp;INDEX(Series!$D$2:$D$30,MATCH(C266,Series!$B$2:$B$30,0))&amp;"/"&amp;INDEX(Part_Categories!$C$2:$C$18,MATCH(D266,Part_Categories!$B$2:$B$18,0)),"CHECK")</f>
        <v>/vilter/vmc-450-xl/valve-spring-and-cage</v>
      </c>
      <c r="Q266" s="19"/>
    </row>
    <row r="267" customFormat="false" ht="23.85" hidden="false" customHeight="false" outlineLevel="0" collapsed="false">
      <c r="A267" s="16" t="n">
        <f aca="false">ROW()-1</f>
        <v>266</v>
      </c>
      <c r="B267" s="17" t="s">
        <v>77</v>
      </c>
      <c r="C267" s="17" t="s">
        <v>120</v>
      </c>
      <c r="D267" s="17" t="s">
        <v>100</v>
      </c>
      <c r="E267" s="16" t="str">
        <f aca="false">IFERROR(INDEX(Lists!$B$2:$B$7,MATCH(B267,Lists!$A$2:$A$7,0))&amp;"-"&amp;INDEX(Series!$C$2:$C$30,MATCH(C267,Series!$B$2:$B$30,0))&amp;"-"&amp;INDEX(Part_Categories!$A$2:$A$18,MATCH(D267,Part_Categories!$B$2:$B$18,0))&amp;"-01","CHECK")</f>
        <v>VIL-V450XL-HDC-01</v>
      </c>
      <c r="F267" s="16" t="str">
        <f aca="false">E267&amp;".jpg"</f>
        <v>VIL-V450XL-HDC-01.jpg</v>
      </c>
      <c r="G267" s="18" t="str">
        <f aca="false">IFERROR(INDEX(Series!$F$2:$F$30,MATCH(C267,Series!$B$2:$B$30,0)),"")</f>
        <v>452 XL, 454 XL, 456 XL, 458 XL, 458, 4512 XL, 4516 XL</v>
      </c>
      <c r="H267" s="19"/>
      <c r="I267" s="19"/>
      <c r="J267" s="19"/>
      <c r="K267" s="19" t="s">
        <v>70</v>
      </c>
      <c r="L267" s="19"/>
      <c r="M267" s="19"/>
      <c r="N267" s="19"/>
      <c r="O267" s="18" t="str">
        <f aca="false">C267&amp;" "&amp;D267&amp;" spare part - Efforts Engineers"</f>
        <v>Vilter VMC 450 XL Series Cylinder Head Cover spare part - Efforts Engineers</v>
      </c>
      <c r="P267" s="16" t="str">
        <f aca="false">IFERROR("/"&amp;LOWER(B267)&amp;"/"&amp;INDEX(Series!$D$2:$D$30,MATCH(C267,Series!$B$2:$B$30,0))&amp;"/"&amp;INDEX(Part_Categories!$C$2:$C$18,MATCH(D267,Part_Categories!$B$2:$B$18,0)),"CHECK")</f>
        <v>/vilter/vmc-450-xl/cylinder-head-cover</v>
      </c>
      <c r="Q267" s="19"/>
    </row>
    <row r="268" customFormat="false" ht="23.85" hidden="false" customHeight="false" outlineLevel="0" collapsed="false">
      <c r="A268" s="16" t="n">
        <f aca="false">ROW()-1</f>
        <v>267</v>
      </c>
      <c r="B268" s="17" t="s">
        <v>77</v>
      </c>
      <c r="C268" s="17" t="s">
        <v>120</v>
      </c>
      <c r="D268" s="17" t="s">
        <v>101</v>
      </c>
      <c r="E268" s="16" t="str">
        <f aca="false">IFERROR(INDEX(Lists!$B$2:$B$7,MATCH(B268,Lists!$A$2:$A$7,0))&amp;"-"&amp;INDEX(Series!$C$2:$C$30,MATCH(C268,Series!$B$2:$B$30,0))&amp;"-"&amp;INDEX(Part_Categories!$A$2:$A$18,MATCH(D268,Part_Categories!$B$2:$B$18,0))&amp;"-01","CHECK")</f>
        <v>VIL-V450XL-GSK-01</v>
      </c>
      <c r="F268" s="16" t="str">
        <f aca="false">E268&amp;".jpg"</f>
        <v>VIL-V450XL-GSK-01.jpg</v>
      </c>
      <c r="G268" s="18" t="str">
        <f aca="false">IFERROR(INDEX(Series!$F$2:$F$30,MATCH(C268,Series!$B$2:$B$30,0)),"")</f>
        <v>452 XL, 454 XL, 456 XL, 458 XL, 458, 4512 XL, 4516 XL</v>
      </c>
      <c r="H268" s="19"/>
      <c r="I268" s="19"/>
      <c r="J268" s="19"/>
      <c r="K268" s="19" t="s">
        <v>70</v>
      </c>
      <c r="L268" s="19"/>
      <c r="M268" s="19"/>
      <c r="N268" s="19"/>
      <c r="O268" s="18" t="str">
        <f aca="false">C268&amp;" "&amp;D268&amp;" spare part - Efforts Engineers"</f>
        <v>Vilter VMC 450 XL Series Gasket and Overhaul Kit spare part - Efforts Engineers</v>
      </c>
      <c r="P268" s="16" t="str">
        <f aca="false">IFERROR("/"&amp;LOWER(B268)&amp;"/"&amp;INDEX(Series!$D$2:$D$30,MATCH(C268,Series!$B$2:$B$30,0))&amp;"/"&amp;INDEX(Part_Categories!$C$2:$C$18,MATCH(D268,Part_Categories!$B$2:$B$18,0)),"CHECK")</f>
        <v>/vilter/vmc-450-xl/gasket-and-overhaul-kit</v>
      </c>
      <c r="Q268" s="19"/>
    </row>
    <row r="269" customFormat="false" ht="23.85" hidden="false" customHeight="false" outlineLevel="0" collapsed="false">
      <c r="A269" s="16" t="n">
        <f aca="false">ROW()-1</f>
        <v>268</v>
      </c>
      <c r="B269" s="17" t="s">
        <v>77</v>
      </c>
      <c r="C269" s="17" t="s">
        <v>120</v>
      </c>
      <c r="D269" s="17" t="s">
        <v>102</v>
      </c>
      <c r="E269" s="16" t="str">
        <f aca="false">IFERROR(INDEX(Lists!$B$2:$B$7,MATCH(B269,Lists!$A$2:$A$7,0))&amp;"-"&amp;INDEX(Series!$C$2:$C$30,MATCH(C269,Series!$B$2:$B$30,0))&amp;"-"&amp;INDEX(Part_Categories!$A$2:$A$18,MATCH(D269,Part_Categories!$B$2:$B$18,0))&amp;"-01","CHECK")</f>
        <v>VIL-V450XL-OPA-01</v>
      </c>
      <c r="F269" s="16" t="str">
        <f aca="false">E269&amp;".jpg"</f>
        <v>VIL-V450XL-OPA-01.jpg</v>
      </c>
      <c r="G269" s="18" t="str">
        <f aca="false">IFERROR(INDEX(Series!$F$2:$F$30,MATCH(C269,Series!$B$2:$B$30,0)),"")</f>
        <v>452 XL, 454 XL, 456 XL, 458 XL, 458, 4512 XL, 4516 XL</v>
      </c>
      <c r="H269" s="19"/>
      <c r="I269" s="19"/>
      <c r="J269" s="19"/>
      <c r="K269" s="19" t="s">
        <v>70</v>
      </c>
      <c r="L269" s="19"/>
      <c r="M269" s="19"/>
      <c r="N269" s="19"/>
      <c r="O269" s="18" t="str">
        <f aca="false">C269&amp;" "&amp;D269&amp;" spare part - Efforts Engineers"</f>
        <v>Vilter VMC 450 XL Series Oil Pump Assembly spare part - Efforts Engineers</v>
      </c>
      <c r="P269" s="16" t="str">
        <f aca="false">IFERROR("/"&amp;LOWER(B269)&amp;"/"&amp;INDEX(Series!$D$2:$D$30,MATCH(C269,Series!$B$2:$B$30,0))&amp;"/"&amp;INDEX(Part_Categories!$C$2:$C$18,MATCH(D269,Part_Categories!$B$2:$B$18,0)),"CHECK")</f>
        <v>/vilter/vmc-450-xl/oil-pump-assembly</v>
      </c>
      <c r="Q269" s="19"/>
    </row>
    <row r="270" customFormat="false" ht="23.85" hidden="false" customHeight="false" outlineLevel="0" collapsed="false">
      <c r="A270" s="16" t="n">
        <f aca="false">ROW()-1</f>
        <v>269</v>
      </c>
      <c r="B270" s="17" t="s">
        <v>77</v>
      </c>
      <c r="C270" s="17" t="s">
        <v>120</v>
      </c>
      <c r="D270" s="17" t="s">
        <v>103</v>
      </c>
      <c r="E270" s="16" t="str">
        <f aca="false">IFERROR(INDEX(Lists!$B$2:$B$7,MATCH(B270,Lists!$A$2:$A$7,0))&amp;"-"&amp;INDEX(Series!$C$2:$C$30,MATCH(C270,Series!$B$2:$B$30,0))&amp;"-"&amp;INDEX(Part_Categories!$A$2:$A$18,MATCH(D270,Part_Categories!$B$2:$B$18,0))&amp;"-01","CHECK")</f>
        <v>VIL-V450XL-SHS-01</v>
      </c>
      <c r="F270" s="16" t="str">
        <f aca="false">E270&amp;".jpg"</f>
        <v>VIL-V450XL-SHS-01.jpg</v>
      </c>
      <c r="G270" s="18" t="str">
        <f aca="false">IFERROR(INDEX(Series!$F$2:$F$30,MATCH(C270,Series!$B$2:$B$30,0)),"")</f>
        <v>452 XL, 454 XL, 456 XL, 458 XL, 458, 4512 XL, 4516 XL</v>
      </c>
      <c r="H270" s="19"/>
      <c r="I270" s="19"/>
      <c r="J270" s="19"/>
      <c r="K270" s="19" t="s">
        <v>70</v>
      </c>
      <c r="L270" s="19"/>
      <c r="M270" s="19"/>
      <c r="N270" s="19"/>
      <c r="O270" s="18" t="str">
        <f aca="false">C270&amp;" "&amp;D270&amp;" spare part - Efforts Engineers"</f>
        <v>Vilter VMC 450 XL Series Shaft Seal spare part - Efforts Engineers</v>
      </c>
      <c r="P270" s="16" t="str">
        <f aca="false">IFERROR("/"&amp;LOWER(B270)&amp;"/"&amp;INDEX(Series!$D$2:$D$30,MATCH(C270,Series!$B$2:$B$30,0))&amp;"/"&amp;INDEX(Part_Categories!$C$2:$C$18,MATCH(D270,Part_Categories!$B$2:$B$18,0)),"CHECK")</f>
        <v>/vilter/vmc-450-xl/shaft-seal</v>
      </c>
      <c r="Q270" s="19"/>
    </row>
    <row r="271" customFormat="false" ht="23.85" hidden="false" customHeight="false" outlineLevel="0" collapsed="false">
      <c r="A271" s="16" t="n">
        <f aca="false">ROW()-1</f>
        <v>270</v>
      </c>
      <c r="B271" s="17" t="s">
        <v>77</v>
      </c>
      <c r="C271" s="17" t="s">
        <v>120</v>
      </c>
      <c r="D271" s="17" t="s">
        <v>104</v>
      </c>
      <c r="E271" s="16" t="str">
        <f aca="false">IFERROR(INDEX(Lists!$B$2:$B$7,MATCH(B271,Lists!$A$2:$A$7,0))&amp;"-"&amp;INDEX(Series!$C$2:$C$30,MATCH(C271,Series!$B$2:$B$30,0))&amp;"-"&amp;INDEX(Part_Categories!$A$2:$A$18,MATCH(D271,Part_Categories!$B$2:$B$18,0))&amp;"-01","CHECK")</f>
        <v>VIL-V450XL-FLT-01</v>
      </c>
      <c r="F271" s="16" t="str">
        <f aca="false">E271&amp;".jpg"</f>
        <v>VIL-V450XL-FLT-01.jpg</v>
      </c>
      <c r="G271" s="18" t="str">
        <f aca="false">IFERROR(INDEX(Series!$F$2:$F$30,MATCH(C271,Series!$B$2:$B$30,0)),"")</f>
        <v>452 XL, 454 XL, 456 XL, 458 XL, 458, 4512 XL, 4516 XL</v>
      </c>
      <c r="H271" s="19"/>
      <c r="I271" s="19"/>
      <c r="J271" s="19"/>
      <c r="K271" s="19" t="s">
        <v>70</v>
      </c>
      <c r="L271" s="19"/>
      <c r="M271" s="19"/>
      <c r="N271" s="19"/>
      <c r="O271" s="18" t="str">
        <f aca="false">C271&amp;" "&amp;D271&amp;" spare part - Efforts Engineers"</f>
        <v>Vilter VMC 450 XL Series Oil Filter and Strainer spare part - Efforts Engineers</v>
      </c>
      <c r="P271" s="16" t="str">
        <f aca="false">IFERROR("/"&amp;LOWER(B271)&amp;"/"&amp;INDEX(Series!$D$2:$D$30,MATCH(C271,Series!$B$2:$B$30,0))&amp;"/"&amp;INDEX(Part_Categories!$C$2:$C$18,MATCH(D271,Part_Categories!$B$2:$B$18,0)),"CHECK")</f>
        <v>/vilter/vmc-450-xl/oil-filter-and-strainer</v>
      </c>
      <c r="Q271" s="19"/>
    </row>
    <row r="272" customFormat="false" ht="23.85" hidden="false" customHeight="false" outlineLevel="0" collapsed="false">
      <c r="A272" s="16" t="n">
        <f aca="false">ROW()-1</f>
        <v>271</v>
      </c>
      <c r="B272" s="17" t="s">
        <v>77</v>
      </c>
      <c r="C272" s="17" t="s">
        <v>120</v>
      </c>
      <c r="D272" s="17" t="s">
        <v>105</v>
      </c>
      <c r="E272" s="16" t="str">
        <f aca="false">IFERROR(INDEX(Lists!$B$2:$B$7,MATCH(B272,Lists!$A$2:$A$7,0))&amp;"-"&amp;INDEX(Series!$C$2:$C$30,MATCH(C272,Series!$B$2:$B$30,0))&amp;"-"&amp;INDEX(Part_Categories!$A$2:$A$18,MATCH(D272,Part_Categories!$B$2:$B$18,0))&amp;"-01","CHECK")</f>
        <v>VIL-V450XL-ULD-01</v>
      </c>
      <c r="F272" s="16" t="str">
        <f aca="false">E272&amp;".jpg"</f>
        <v>VIL-V450XL-ULD-01.jpg</v>
      </c>
      <c r="G272" s="18" t="str">
        <f aca="false">IFERROR(INDEX(Series!$F$2:$F$30,MATCH(C272,Series!$B$2:$B$30,0)),"")</f>
        <v>452 XL, 454 XL, 456 XL, 458 XL, 458, 4512 XL, 4516 XL</v>
      </c>
      <c r="H272" s="19"/>
      <c r="I272" s="19"/>
      <c r="J272" s="19"/>
      <c r="K272" s="19" t="s">
        <v>70</v>
      </c>
      <c r="L272" s="19"/>
      <c r="M272" s="19"/>
      <c r="N272" s="19"/>
      <c r="O272" s="18" t="str">
        <f aca="false">C272&amp;" "&amp;D272&amp;" spare part - Efforts Engineers"</f>
        <v>Vilter VMC 450 XL Series Unloader and Capacity Control spare part - Efforts Engineers</v>
      </c>
      <c r="P272" s="16" t="str">
        <f aca="false">IFERROR("/"&amp;LOWER(B272)&amp;"/"&amp;INDEX(Series!$D$2:$D$30,MATCH(C272,Series!$B$2:$B$30,0))&amp;"/"&amp;INDEX(Part_Categories!$C$2:$C$18,MATCH(D272,Part_Categories!$B$2:$B$18,0)),"CHECK")</f>
        <v>/vilter/vmc-450-xl/unloader-and-capacity-control</v>
      </c>
      <c r="Q272" s="19"/>
    </row>
    <row r="273" customFormat="false" ht="23.85" hidden="false" customHeight="false" outlineLevel="0" collapsed="false">
      <c r="A273" s="16" t="n">
        <f aca="false">ROW()-1</f>
        <v>272</v>
      </c>
      <c r="B273" s="17" t="s">
        <v>77</v>
      </c>
      <c r="C273" s="17" t="s">
        <v>120</v>
      </c>
      <c r="D273" s="17" t="s">
        <v>106</v>
      </c>
      <c r="E273" s="16" t="str">
        <f aca="false">IFERROR(INDEX(Lists!$B$2:$B$7,MATCH(B273,Lists!$A$2:$A$7,0))&amp;"-"&amp;INDEX(Series!$C$2:$C$30,MATCH(C273,Series!$B$2:$B$30,0))&amp;"-"&amp;INDEX(Part_Categories!$A$2:$A$18,MATCH(D273,Part_Categories!$B$2:$B$18,0))&amp;"-01","CHECK")</f>
        <v>VIL-V450XL-SAF-01</v>
      </c>
      <c r="F273" s="16" t="str">
        <f aca="false">E273&amp;".jpg"</f>
        <v>VIL-V450XL-SAF-01.jpg</v>
      </c>
      <c r="G273" s="18" t="str">
        <f aca="false">IFERROR(INDEX(Series!$F$2:$F$30,MATCH(C273,Series!$B$2:$B$30,0)),"")</f>
        <v>452 XL, 454 XL, 456 XL, 458 XL, 458, 4512 XL, 4516 XL</v>
      </c>
      <c r="H273" s="19"/>
      <c r="I273" s="19"/>
      <c r="J273" s="19"/>
      <c r="K273" s="19" t="s">
        <v>70</v>
      </c>
      <c r="L273" s="19"/>
      <c r="M273" s="19"/>
      <c r="N273" s="19"/>
      <c r="O273" s="18" t="str">
        <f aca="false">C273&amp;" "&amp;D273&amp;" spare part - Efforts Engineers"</f>
        <v>Vilter VMC 450 XL Series Safety Head and Relief Valve spare part - Efforts Engineers</v>
      </c>
      <c r="P273" s="16" t="str">
        <f aca="false">IFERROR("/"&amp;LOWER(B273)&amp;"/"&amp;INDEX(Series!$D$2:$D$30,MATCH(C273,Series!$B$2:$B$30,0))&amp;"/"&amp;INDEX(Part_Categories!$C$2:$C$18,MATCH(D273,Part_Categories!$B$2:$B$18,0)),"CHECK")</f>
        <v>/vilter/vmc-450-xl/safety-head-and-relief-valve</v>
      </c>
      <c r="Q273" s="19"/>
    </row>
    <row r="274" customFormat="false" ht="23.85" hidden="false" customHeight="false" outlineLevel="0" collapsed="false">
      <c r="A274" s="16" t="n">
        <f aca="false">ROW()-1</f>
        <v>273</v>
      </c>
      <c r="B274" s="17" t="s">
        <v>77</v>
      </c>
      <c r="C274" s="17" t="s">
        <v>121</v>
      </c>
      <c r="D274" s="17" t="s">
        <v>58</v>
      </c>
      <c r="E274" s="16" t="str">
        <f aca="false">IFERROR(INDEX(Lists!$B$2:$B$7,MATCH(B274,Lists!$A$2:$A$7,0))&amp;"-"&amp;INDEX(Series!$C$2:$C$30,MATCH(C274,Series!$B$2:$B$30,0))&amp;"-"&amp;INDEX(Part_Categories!$A$2:$A$18,MATCH(D274,Part_Categories!$B$2:$B$18,0))&amp;"-01","CHECK")</f>
        <v>VIL-V350ES-CLN-01</v>
      </c>
      <c r="F274" s="16" t="str">
        <f aca="false">E274&amp;".jpg"</f>
        <v>VIL-V350ES-CLN-01.jpg</v>
      </c>
      <c r="G274" s="18" t="str">
        <f aca="false">IFERROR(INDEX(Series!$F$2:$F$30,MATCH(C274,Series!$B$2:$B$30,0)),"")</f>
        <v>VMC 350ES</v>
      </c>
      <c r="H274" s="19"/>
      <c r="I274" s="19"/>
      <c r="J274" s="19"/>
      <c r="K274" s="19" t="s">
        <v>70</v>
      </c>
      <c r="L274" s="19"/>
      <c r="M274" s="19"/>
      <c r="N274" s="19"/>
      <c r="O274" s="18" t="str">
        <f aca="false">C274&amp;" "&amp;D274&amp;" spare part - Efforts Engineers"</f>
        <v>Vilter VMC 350ES Series Cylinder Liner spare part - Efforts Engineers</v>
      </c>
      <c r="P274" s="16" t="str">
        <f aca="false">IFERROR("/"&amp;LOWER(B274)&amp;"/"&amp;INDEX(Series!$D$2:$D$30,MATCH(C274,Series!$B$2:$B$30,0))&amp;"/"&amp;INDEX(Part_Categories!$C$2:$C$18,MATCH(D274,Part_Categories!$B$2:$B$18,0)),"CHECK")</f>
        <v>/vilter/vmc-350es/cylinder-liner</v>
      </c>
      <c r="Q274" s="19"/>
    </row>
    <row r="275" customFormat="false" ht="23.85" hidden="false" customHeight="false" outlineLevel="0" collapsed="false">
      <c r="A275" s="16" t="n">
        <f aca="false">ROW()-1</f>
        <v>274</v>
      </c>
      <c r="B275" s="17" t="s">
        <v>77</v>
      </c>
      <c r="C275" s="17" t="s">
        <v>121</v>
      </c>
      <c r="D275" s="17" t="s">
        <v>91</v>
      </c>
      <c r="E275" s="16" t="str">
        <f aca="false">IFERROR(INDEX(Lists!$B$2:$B$7,MATCH(B275,Lists!$A$2:$A$7,0))&amp;"-"&amp;INDEX(Series!$C$2:$C$30,MATCH(C275,Series!$B$2:$B$30,0))&amp;"-"&amp;INDEX(Part_Categories!$A$2:$A$18,MATCH(D275,Part_Categories!$B$2:$B$18,0))&amp;"-01","CHECK")</f>
        <v>VIL-V350ES-PST-01</v>
      </c>
      <c r="F275" s="16" t="str">
        <f aca="false">E275&amp;".jpg"</f>
        <v>VIL-V350ES-PST-01.jpg</v>
      </c>
      <c r="G275" s="18" t="str">
        <f aca="false">IFERROR(INDEX(Series!$F$2:$F$30,MATCH(C275,Series!$B$2:$B$30,0)),"")</f>
        <v>VMC 350ES</v>
      </c>
      <c r="H275" s="19"/>
      <c r="I275" s="19"/>
      <c r="J275" s="19"/>
      <c r="K275" s="19" t="s">
        <v>70</v>
      </c>
      <c r="L275" s="19"/>
      <c r="M275" s="19"/>
      <c r="N275" s="19"/>
      <c r="O275" s="18" t="str">
        <f aca="false">C275&amp;" "&amp;D275&amp;" spare part - Efforts Engineers"</f>
        <v>Vilter VMC 350ES Series Piston Assembly spare part - Efforts Engineers</v>
      </c>
      <c r="P275" s="16" t="str">
        <f aca="false">IFERROR("/"&amp;LOWER(B275)&amp;"/"&amp;INDEX(Series!$D$2:$D$30,MATCH(C275,Series!$B$2:$B$30,0))&amp;"/"&amp;INDEX(Part_Categories!$C$2:$C$18,MATCH(D275,Part_Categories!$B$2:$B$18,0)),"CHECK")</f>
        <v>/vilter/vmc-350es/piston-assembly</v>
      </c>
      <c r="Q275" s="19"/>
    </row>
    <row r="276" customFormat="false" ht="23.85" hidden="false" customHeight="false" outlineLevel="0" collapsed="false">
      <c r="A276" s="16" t="n">
        <f aca="false">ROW()-1</f>
        <v>275</v>
      </c>
      <c r="B276" s="17" t="s">
        <v>77</v>
      </c>
      <c r="C276" s="17" t="s">
        <v>121</v>
      </c>
      <c r="D276" s="17" t="s">
        <v>92</v>
      </c>
      <c r="E276" s="16" t="str">
        <f aca="false">IFERROR(INDEX(Lists!$B$2:$B$7,MATCH(B276,Lists!$A$2:$A$7,0))&amp;"-"&amp;INDEX(Series!$C$2:$C$30,MATCH(C276,Series!$B$2:$B$30,0))&amp;"-"&amp;INDEX(Part_Categories!$A$2:$A$18,MATCH(D276,Part_Categories!$B$2:$B$18,0))&amp;"-01","CHECK")</f>
        <v>VIL-V350ES-PRG-01</v>
      </c>
      <c r="F276" s="16" t="str">
        <f aca="false">E276&amp;".jpg"</f>
        <v>VIL-V350ES-PRG-01.jpg</v>
      </c>
      <c r="G276" s="18" t="str">
        <f aca="false">IFERROR(INDEX(Series!$F$2:$F$30,MATCH(C276,Series!$B$2:$B$30,0)),"")</f>
        <v>VMC 350ES</v>
      </c>
      <c r="H276" s="19"/>
      <c r="I276" s="19"/>
      <c r="J276" s="19"/>
      <c r="K276" s="19" t="s">
        <v>70</v>
      </c>
      <c r="L276" s="19"/>
      <c r="M276" s="19"/>
      <c r="N276" s="19"/>
      <c r="O276" s="18" t="str">
        <f aca="false">C276&amp;" "&amp;D276&amp;" spare part - Efforts Engineers"</f>
        <v>Vilter VMC 350ES Series Piston Ring Set spare part - Efforts Engineers</v>
      </c>
      <c r="P276" s="16" t="str">
        <f aca="false">IFERROR("/"&amp;LOWER(B276)&amp;"/"&amp;INDEX(Series!$D$2:$D$30,MATCH(C276,Series!$B$2:$B$30,0))&amp;"/"&amp;INDEX(Part_Categories!$C$2:$C$18,MATCH(D276,Part_Categories!$B$2:$B$18,0)),"CHECK")</f>
        <v>/vilter/vmc-350es/piston-ring-set</v>
      </c>
      <c r="Q276" s="19"/>
    </row>
    <row r="277" customFormat="false" ht="23.85" hidden="false" customHeight="false" outlineLevel="0" collapsed="false">
      <c r="A277" s="16" t="n">
        <f aca="false">ROW()-1</f>
        <v>276</v>
      </c>
      <c r="B277" s="17" t="s">
        <v>77</v>
      </c>
      <c r="C277" s="17" t="s">
        <v>121</v>
      </c>
      <c r="D277" s="17" t="s">
        <v>93</v>
      </c>
      <c r="E277" s="16" t="str">
        <f aca="false">IFERROR(INDEX(Lists!$B$2:$B$7,MATCH(B277,Lists!$A$2:$A$7,0))&amp;"-"&amp;INDEX(Series!$C$2:$C$30,MATCH(C277,Series!$B$2:$B$30,0))&amp;"-"&amp;INDEX(Part_Categories!$A$2:$A$18,MATCH(D277,Part_Categories!$B$2:$B$18,0))&amp;"-01","CHECK")</f>
        <v>VIL-V350ES-CRD-01</v>
      </c>
      <c r="F277" s="16" t="str">
        <f aca="false">E277&amp;".jpg"</f>
        <v>VIL-V350ES-CRD-01.jpg</v>
      </c>
      <c r="G277" s="18" t="str">
        <f aca="false">IFERROR(INDEX(Series!$F$2:$F$30,MATCH(C277,Series!$B$2:$B$30,0)),"")</f>
        <v>VMC 350ES</v>
      </c>
      <c r="H277" s="19"/>
      <c r="I277" s="19"/>
      <c r="J277" s="19"/>
      <c r="K277" s="19" t="s">
        <v>70</v>
      </c>
      <c r="L277" s="19"/>
      <c r="M277" s="19"/>
      <c r="N277" s="19"/>
      <c r="O277" s="18" t="str">
        <f aca="false">C277&amp;" "&amp;D277&amp;" spare part - Efforts Engineers"</f>
        <v>Vilter VMC 350ES Series Connecting Rod spare part - Efforts Engineers</v>
      </c>
      <c r="P277" s="16" t="str">
        <f aca="false">IFERROR("/"&amp;LOWER(B277)&amp;"/"&amp;INDEX(Series!$D$2:$D$30,MATCH(C277,Series!$B$2:$B$30,0))&amp;"/"&amp;INDEX(Part_Categories!$C$2:$C$18,MATCH(D277,Part_Categories!$B$2:$B$18,0)),"CHECK")</f>
        <v>/vilter/vmc-350es/connecting-rod</v>
      </c>
      <c r="Q277" s="19"/>
    </row>
    <row r="278" customFormat="false" ht="23.85" hidden="false" customHeight="false" outlineLevel="0" collapsed="false">
      <c r="A278" s="16" t="n">
        <f aca="false">ROW()-1</f>
        <v>277</v>
      </c>
      <c r="B278" s="17" t="s">
        <v>77</v>
      </c>
      <c r="C278" s="17" t="s">
        <v>121</v>
      </c>
      <c r="D278" s="17" t="s">
        <v>94</v>
      </c>
      <c r="E278" s="16" t="str">
        <f aca="false">IFERROR(INDEX(Lists!$B$2:$B$7,MATCH(B278,Lists!$A$2:$A$7,0))&amp;"-"&amp;INDEX(Series!$C$2:$C$30,MATCH(C278,Series!$B$2:$B$30,0))&amp;"-"&amp;INDEX(Part_Categories!$A$2:$A$18,MATCH(D278,Part_Categories!$B$2:$B$18,0))&amp;"-01","CHECK")</f>
        <v>VIL-V350ES-CRK-01</v>
      </c>
      <c r="F278" s="16" t="str">
        <f aca="false">E278&amp;".jpg"</f>
        <v>VIL-V350ES-CRK-01.jpg</v>
      </c>
      <c r="G278" s="18" t="str">
        <f aca="false">IFERROR(INDEX(Series!$F$2:$F$30,MATCH(C278,Series!$B$2:$B$30,0)),"")</f>
        <v>VMC 350ES</v>
      </c>
      <c r="H278" s="19"/>
      <c r="I278" s="19"/>
      <c r="J278" s="19"/>
      <c r="K278" s="19" t="s">
        <v>70</v>
      </c>
      <c r="L278" s="19"/>
      <c r="M278" s="19"/>
      <c r="N278" s="19"/>
      <c r="O278" s="18" t="str">
        <f aca="false">C278&amp;" "&amp;D278&amp;" spare part - Efforts Engineers"</f>
        <v>Vilter VMC 350ES Series Crankshaft spare part - Efforts Engineers</v>
      </c>
      <c r="P278" s="16" t="str">
        <f aca="false">IFERROR("/"&amp;LOWER(B278)&amp;"/"&amp;INDEX(Series!$D$2:$D$30,MATCH(C278,Series!$B$2:$B$30,0))&amp;"/"&amp;INDEX(Part_Categories!$C$2:$C$18,MATCH(D278,Part_Categories!$B$2:$B$18,0)),"CHECK")</f>
        <v>/vilter/vmc-350es/crankshaft</v>
      </c>
      <c r="Q278" s="19"/>
    </row>
    <row r="279" customFormat="false" ht="23.85" hidden="false" customHeight="false" outlineLevel="0" collapsed="false">
      <c r="A279" s="16" t="n">
        <f aca="false">ROW()-1</f>
        <v>278</v>
      </c>
      <c r="B279" s="17" t="s">
        <v>77</v>
      </c>
      <c r="C279" s="17" t="s">
        <v>121</v>
      </c>
      <c r="D279" s="17" t="s">
        <v>95</v>
      </c>
      <c r="E279" s="16" t="str">
        <f aca="false">IFERROR(INDEX(Lists!$B$2:$B$7,MATCH(B279,Lists!$A$2:$A$7,0))&amp;"-"&amp;INDEX(Series!$C$2:$C$30,MATCH(C279,Series!$B$2:$B$30,0))&amp;"-"&amp;INDEX(Part_Categories!$A$2:$A$18,MATCH(D279,Part_Categories!$B$2:$B$18,0))&amp;"-01","CHECK")</f>
        <v>VIL-V350ES-PIN-01</v>
      </c>
      <c r="F279" s="16" t="str">
        <f aca="false">E279&amp;".jpg"</f>
        <v>VIL-V350ES-PIN-01.jpg</v>
      </c>
      <c r="G279" s="18" t="str">
        <f aca="false">IFERROR(INDEX(Series!$F$2:$F$30,MATCH(C279,Series!$B$2:$B$30,0)),"")</f>
        <v>VMC 350ES</v>
      </c>
      <c r="H279" s="19"/>
      <c r="I279" s="19"/>
      <c r="J279" s="19"/>
      <c r="K279" s="19" t="s">
        <v>70</v>
      </c>
      <c r="L279" s="19"/>
      <c r="M279" s="19"/>
      <c r="N279" s="19"/>
      <c r="O279" s="18" t="str">
        <f aca="false">C279&amp;" "&amp;D279&amp;" spare part - Efforts Engineers"</f>
        <v>Vilter VMC 350ES Series Gudgeon Pin and Bush spare part - Efforts Engineers</v>
      </c>
      <c r="P279" s="16" t="str">
        <f aca="false">IFERROR("/"&amp;LOWER(B279)&amp;"/"&amp;INDEX(Series!$D$2:$D$30,MATCH(C279,Series!$B$2:$B$30,0))&amp;"/"&amp;INDEX(Part_Categories!$C$2:$C$18,MATCH(D279,Part_Categories!$B$2:$B$18,0)),"CHECK")</f>
        <v>/vilter/vmc-350es/gudgeon-pin-and-bush</v>
      </c>
      <c r="Q279" s="19"/>
    </row>
    <row r="280" customFormat="false" ht="23.85" hidden="false" customHeight="false" outlineLevel="0" collapsed="false">
      <c r="A280" s="16" t="n">
        <f aca="false">ROW()-1</f>
        <v>279</v>
      </c>
      <c r="B280" s="17" t="s">
        <v>77</v>
      </c>
      <c r="C280" s="17" t="s">
        <v>121</v>
      </c>
      <c r="D280" s="17" t="s">
        <v>96</v>
      </c>
      <c r="E280" s="16" t="str">
        <f aca="false">IFERROR(INDEX(Lists!$B$2:$B$7,MATCH(B280,Lists!$A$2:$A$7,0))&amp;"-"&amp;INDEX(Series!$C$2:$C$30,MATCH(C280,Series!$B$2:$B$30,0))&amp;"-"&amp;INDEX(Part_Categories!$A$2:$A$18,MATCH(D280,Part_Categories!$B$2:$B$18,0))&amp;"-01","CHECK")</f>
        <v>VIL-V350ES-BRG-01</v>
      </c>
      <c r="F280" s="16" t="str">
        <f aca="false">E280&amp;".jpg"</f>
        <v>VIL-V350ES-BRG-01.jpg</v>
      </c>
      <c r="G280" s="18" t="str">
        <f aca="false">IFERROR(INDEX(Series!$F$2:$F$30,MATCH(C280,Series!$B$2:$B$30,0)),"")</f>
        <v>VMC 350ES</v>
      </c>
      <c r="H280" s="19"/>
      <c r="I280" s="19"/>
      <c r="J280" s="19"/>
      <c r="K280" s="19" t="s">
        <v>70</v>
      </c>
      <c r="L280" s="19"/>
      <c r="M280" s="19"/>
      <c r="N280" s="19"/>
      <c r="O280" s="18" t="str">
        <f aca="false">C280&amp;" "&amp;D280&amp;" spare part - Efforts Engineers"</f>
        <v>Vilter VMC 350ES Series Main Bearing and Bush spare part - Efforts Engineers</v>
      </c>
      <c r="P280" s="16" t="str">
        <f aca="false">IFERROR("/"&amp;LOWER(B280)&amp;"/"&amp;INDEX(Series!$D$2:$D$30,MATCH(C280,Series!$B$2:$B$30,0))&amp;"/"&amp;INDEX(Part_Categories!$C$2:$C$18,MATCH(D280,Part_Categories!$B$2:$B$18,0)),"CHECK")</f>
        <v>/vilter/vmc-350es/main-bearing-and-bush</v>
      </c>
      <c r="Q280" s="19"/>
    </row>
    <row r="281" customFormat="false" ht="23.85" hidden="false" customHeight="false" outlineLevel="0" collapsed="false">
      <c r="A281" s="16" t="n">
        <f aca="false">ROW()-1</f>
        <v>280</v>
      </c>
      <c r="B281" s="17" t="s">
        <v>77</v>
      </c>
      <c r="C281" s="17" t="s">
        <v>121</v>
      </c>
      <c r="D281" s="17" t="s">
        <v>97</v>
      </c>
      <c r="E281" s="16" t="str">
        <f aca="false">IFERROR(INDEX(Lists!$B$2:$B$7,MATCH(B281,Lists!$A$2:$A$7,0))&amp;"-"&amp;INDEX(Series!$C$2:$C$30,MATCH(C281,Series!$B$2:$B$30,0))&amp;"-"&amp;INDEX(Part_Categories!$A$2:$A$18,MATCH(D281,Part_Categories!$B$2:$B$18,0))&amp;"-01","CHECK")</f>
        <v>VIL-V350ES-SVP-01</v>
      </c>
      <c r="F281" s="16" t="str">
        <f aca="false">E281&amp;".jpg"</f>
        <v>VIL-V350ES-SVP-01.jpg</v>
      </c>
      <c r="G281" s="18" t="str">
        <f aca="false">IFERROR(INDEX(Series!$F$2:$F$30,MATCH(C281,Series!$B$2:$B$30,0)),"")</f>
        <v>VMC 350ES</v>
      </c>
      <c r="H281" s="19"/>
      <c r="I281" s="19"/>
      <c r="J281" s="19"/>
      <c r="K281" s="19" t="s">
        <v>70</v>
      </c>
      <c r="L281" s="19"/>
      <c r="M281" s="19"/>
      <c r="N281" s="19"/>
      <c r="O281" s="18" t="str">
        <f aca="false">C281&amp;" "&amp;D281&amp;" spare part - Efforts Engineers"</f>
        <v>Vilter VMC 350ES Series Suction Valve Plate spare part - Efforts Engineers</v>
      </c>
      <c r="P281" s="16" t="str">
        <f aca="false">IFERROR("/"&amp;LOWER(B281)&amp;"/"&amp;INDEX(Series!$D$2:$D$30,MATCH(C281,Series!$B$2:$B$30,0))&amp;"/"&amp;INDEX(Part_Categories!$C$2:$C$18,MATCH(D281,Part_Categories!$B$2:$B$18,0)),"CHECK")</f>
        <v>/vilter/vmc-350es/suction-valve-plate</v>
      </c>
      <c r="Q281" s="19"/>
    </row>
    <row r="282" customFormat="false" ht="23.85" hidden="false" customHeight="false" outlineLevel="0" collapsed="false">
      <c r="A282" s="16" t="n">
        <f aca="false">ROW()-1</f>
        <v>281</v>
      </c>
      <c r="B282" s="17" t="s">
        <v>77</v>
      </c>
      <c r="C282" s="17" t="s">
        <v>121</v>
      </c>
      <c r="D282" s="17" t="s">
        <v>98</v>
      </c>
      <c r="E282" s="16" t="str">
        <f aca="false">IFERROR(INDEX(Lists!$B$2:$B$7,MATCH(B282,Lists!$A$2:$A$7,0))&amp;"-"&amp;INDEX(Series!$C$2:$C$30,MATCH(C282,Series!$B$2:$B$30,0))&amp;"-"&amp;INDEX(Part_Categories!$A$2:$A$18,MATCH(D282,Part_Categories!$B$2:$B$18,0))&amp;"-01","CHECK")</f>
        <v>VIL-V350ES-DVA-01</v>
      </c>
      <c r="F282" s="16" t="str">
        <f aca="false">E282&amp;".jpg"</f>
        <v>VIL-V350ES-DVA-01.jpg</v>
      </c>
      <c r="G282" s="18" t="str">
        <f aca="false">IFERROR(INDEX(Series!$F$2:$F$30,MATCH(C282,Series!$B$2:$B$30,0)),"")</f>
        <v>VMC 350ES</v>
      </c>
      <c r="H282" s="19"/>
      <c r="I282" s="19"/>
      <c r="J282" s="19"/>
      <c r="K282" s="19" t="s">
        <v>70</v>
      </c>
      <c r="L282" s="19"/>
      <c r="M282" s="19"/>
      <c r="N282" s="19"/>
      <c r="O282" s="18" t="str">
        <f aca="false">C282&amp;" "&amp;D282&amp;" spare part - Efforts Engineers"</f>
        <v>Vilter VMC 350ES Series Discharge Valve Assembly spare part - Efforts Engineers</v>
      </c>
      <c r="P282" s="16" t="str">
        <f aca="false">IFERROR("/"&amp;LOWER(B282)&amp;"/"&amp;INDEX(Series!$D$2:$D$30,MATCH(C282,Series!$B$2:$B$30,0))&amp;"/"&amp;INDEX(Part_Categories!$C$2:$C$18,MATCH(D282,Part_Categories!$B$2:$B$18,0)),"CHECK")</f>
        <v>/vilter/vmc-350es/discharge-valve-assembly</v>
      </c>
      <c r="Q282" s="19"/>
    </row>
    <row r="283" customFormat="false" ht="23.85" hidden="false" customHeight="false" outlineLevel="0" collapsed="false">
      <c r="A283" s="16" t="n">
        <f aca="false">ROW()-1</f>
        <v>282</v>
      </c>
      <c r="B283" s="17" t="s">
        <v>77</v>
      </c>
      <c r="C283" s="17" t="s">
        <v>121</v>
      </c>
      <c r="D283" s="17" t="s">
        <v>99</v>
      </c>
      <c r="E283" s="16" t="str">
        <f aca="false">IFERROR(INDEX(Lists!$B$2:$B$7,MATCH(B283,Lists!$A$2:$A$7,0))&amp;"-"&amp;INDEX(Series!$C$2:$C$30,MATCH(C283,Series!$B$2:$B$30,0))&amp;"-"&amp;INDEX(Part_Categories!$A$2:$A$18,MATCH(D283,Part_Categories!$B$2:$B$18,0))&amp;"-01","CHECK")</f>
        <v>VIL-V350ES-VSP-01</v>
      </c>
      <c r="F283" s="16" t="str">
        <f aca="false">E283&amp;".jpg"</f>
        <v>VIL-V350ES-VSP-01.jpg</v>
      </c>
      <c r="G283" s="18" t="str">
        <f aca="false">IFERROR(INDEX(Series!$F$2:$F$30,MATCH(C283,Series!$B$2:$B$30,0)),"")</f>
        <v>VMC 350ES</v>
      </c>
      <c r="H283" s="19"/>
      <c r="I283" s="19"/>
      <c r="J283" s="19"/>
      <c r="K283" s="19" t="s">
        <v>70</v>
      </c>
      <c r="L283" s="19"/>
      <c r="M283" s="19"/>
      <c r="N283" s="19"/>
      <c r="O283" s="18" t="str">
        <f aca="false">C283&amp;" "&amp;D283&amp;" spare part - Efforts Engineers"</f>
        <v>Vilter VMC 350ES Series Valve Spring and Cage spare part - Efforts Engineers</v>
      </c>
      <c r="P283" s="16" t="str">
        <f aca="false">IFERROR("/"&amp;LOWER(B283)&amp;"/"&amp;INDEX(Series!$D$2:$D$30,MATCH(C283,Series!$B$2:$B$30,0))&amp;"/"&amp;INDEX(Part_Categories!$C$2:$C$18,MATCH(D283,Part_Categories!$B$2:$B$18,0)),"CHECK")</f>
        <v>/vilter/vmc-350es/valve-spring-and-cage</v>
      </c>
      <c r="Q283" s="19"/>
    </row>
    <row r="284" customFormat="false" ht="23.85" hidden="false" customHeight="false" outlineLevel="0" collapsed="false">
      <c r="A284" s="16" t="n">
        <f aca="false">ROW()-1</f>
        <v>283</v>
      </c>
      <c r="B284" s="17" t="s">
        <v>77</v>
      </c>
      <c r="C284" s="17" t="s">
        <v>121</v>
      </c>
      <c r="D284" s="17" t="s">
        <v>100</v>
      </c>
      <c r="E284" s="16" t="str">
        <f aca="false">IFERROR(INDEX(Lists!$B$2:$B$7,MATCH(B284,Lists!$A$2:$A$7,0))&amp;"-"&amp;INDEX(Series!$C$2:$C$30,MATCH(C284,Series!$B$2:$B$30,0))&amp;"-"&amp;INDEX(Part_Categories!$A$2:$A$18,MATCH(D284,Part_Categories!$B$2:$B$18,0))&amp;"-01","CHECK")</f>
        <v>VIL-V350ES-HDC-01</v>
      </c>
      <c r="F284" s="16" t="str">
        <f aca="false">E284&amp;".jpg"</f>
        <v>VIL-V350ES-HDC-01.jpg</v>
      </c>
      <c r="G284" s="18" t="str">
        <f aca="false">IFERROR(INDEX(Series!$F$2:$F$30,MATCH(C284,Series!$B$2:$B$30,0)),"")</f>
        <v>VMC 350ES</v>
      </c>
      <c r="H284" s="19"/>
      <c r="I284" s="19"/>
      <c r="J284" s="19"/>
      <c r="K284" s="19" t="s">
        <v>70</v>
      </c>
      <c r="L284" s="19"/>
      <c r="M284" s="19"/>
      <c r="N284" s="19"/>
      <c r="O284" s="18" t="str">
        <f aca="false">C284&amp;" "&amp;D284&amp;" spare part - Efforts Engineers"</f>
        <v>Vilter VMC 350ES Series Cylinder Head Cover spare part - Efforts Engineers</v>
      </c>
      <c r="P284" s="16" t="str">
        <f aca="false">IFERROR("/"&amp;LOWER(B284)&amp;"/"&amp;INDEX(Series!$D$2:$D$30,MATCH(C284,Series!$B$2:$B$30,0))&amp;"/"&amp;INDEX(Part_Categories!$C$2:$C$18,MATCH(D284,Part_Categories!$B$2:$B$18,0)),"CHECK")</f>
        <v>/vilter/vmc-350es/cylinder-head-cover</v>
      </c>
      <c r="Q284" s="19"/>
    </row>
    <row r="285" customFormat="false" ht="23.85" hidden="false" customHeight="false" outlineLevel="0" collapsed="false">
      <c r="A285" s="16" t="n">
        <f aca="false">ROW()-1</f>
        <v>284</v>
      </c>
      <c r="B285" s="17" t="s">
        <v>77</v>
      </c>
      <c r="C285" s="17" t="s">
        <v>121</v>
      </c>
      <c r="D285" s="17" t="s">
        <v>101</v>
      </c>
      <c r="E285" s="16" t="str">
        <f aca="false">IFERROR(INDEX(Lists!$B$2:$B$7,MATCH(B285,Lists!$A$2:$A$7,0))&amp;"-"&amp;INDEX(Series!$C$2:$C$30,MATCH(C285,Series!$B$2:$B$30,0))&amp;"-"&amp;INDEX(Part_Categories!$A$2:$A$18,MATCH(D285,Part_Categories!$B$2:$B$18,0))&amp;"-01","CHECK")</f>
        <v>VIL-V350ES-GSK-01</v>
      </c>
      <c r="F285" s="16" t="str">
        <f aca="false">E285&amp;".jpg"</f>
        <v>VIL-V350ES-GSK-01.jpg</v>
      </c>
      <c r="G285" s="18" t="str">
        <f aca="false">IFERROR(INDEX(Series!$F$2:$F$30,MATCH(C285,Series!$B$2:$B$30,0)),"")</f>
        <v>VMC 350ES</v>
      </c>
      <c r="H285" s="19"/>
      <c r="I285" s="19"/>
      <c r="J285" s="19"/>
      <c r="K285" s="19" t="s">
        <v>70</v>
      </c>
      <c r="L285" s="19"/>
      <c r="M285" s="19"/>
      <c r="N285" s="19"/>
      <c r="O285" s="18" t="str">
        <f aca="false">C285&amp;" "&amp;D285&amp;" spare part - Efforts Engineers"</f>
        <v>Vilter VMC 350ES Series Gasket and Overhaul Kit spare part - Efforts Engineers</v>
      </c>
      <c r="P285" s="16" t="str">
        <f aca="false">IFERROR("/"&amp;LOWER(B285)&amp;"/"&amp;INDEX(Series!$D$2:$D$30,MATCH(C285,Series!$B$2:$B$30,0))&amp;"/"&amp;INDEX(Part_Categories!$C$2:$C$18,MATCH(D285,Part_Categories!$B$2:$B$18,0)),"CHECK")</f>
        <v>/vilter/vmc-350es/gasket-and-overhaul-kit</v>
      </c>
      <c r="Q285" s="19"/>
    </row>
    <row r="286" customFormat="false" ht="23.85" hidden="false" customHeight="false" outlineLevel="0" collapsed="false">
      <c r="A286" s="16" t="n">
        <f aca="false">ROW()-1</f>
        <v>285</v>
      </c>
      <c r="B286" s="17" t="s">
        <v>77</v>
      </c>
      <c r="C286" s="17" t="s">
        <v>121</v>
      </c>
      <c r="D286" s="17" t="s">
        <v>102</v>
      </c>
      <c r="E286" s="16" t="str">
        <f aca="false">IFERROR(INDEX(Lists!$B$2:$B$7,MATCH(B286,Lists!$A$2:$A$7,0))&amp;"-"&amp;INDEX(Series!$C$2:$C$30,MATCH(C286,Series!$B$2:$B$30,0))&amp;"-"&amp;INDEX(Part_Categories!$A$2:$A$18,MATCH(D286,Part_Categories!$B$2:$B$18,0))&amp;"-01","CHECK")</f>
        <v>VIL-V350ES-OPA-01</v>
      </c>
      <c r="F286" s="16" t="str">
        <f aca="false">E286&amp;".jpg"</f>
        <v>VIL-V350ES-OPA-01.jpg</v>
      </c>
      <c r="G286" s="18" t="str">
        <f aca="false">IFERROR(INDEX(Series!$F$2:$F$30,MATCH(C286,Series!$B$2:$B$30,0)),"")</f>
        <v>VMC 350ES</v>
      </c>
      <c r="H286" s="19"/>
      <c r="I286" s="19"/>
      <c r="J286" s="19"/>
      <c r="K286" s="19" t="s">
        <v>70</v>
      </c>
      <c r="L286" s="19"/>
      <c r="M286" s="19"/>
      <c r="N286" s="19"/>
      <c r="O286" s="18" t="str">
        <f aca="false">C286&amp;" "&amp;D286&amp;" spare part - Efforts Engineers"</f>
        <v>Vilter VMC 350ES Series Oil Pump Assembly spare part - Efforts Engineers</v>
      </c>
      <c r="P286" s="16" t="str">
        <f aca="false">IFERROR("/"&amp;LOWER(B286)&amp;"/"&amp;INDEX(Series!$D$2:$D$30,MATCH(C286,Series!$B$2:$B$30,0))&amp;"/"&amp;INDEX(Part_Categories!$C$2:$C$18,MATCH(D286,Part_Categories!$B$2:$B$18,0)),"CHECK")</f>
        <v>/vilter/vmc-350es/oil-pump-assembly</v>
      </c>
      <c r="Q286" s="19"/>
    </row>
    <row r="287" customFormat="false" ht="23.85" hidden="false" customHeight="false" outlineLevel="0" collapsed="false">
      <c r="A287" s="16" t="n">
        <f aca="false">ROW()-1</f>
        <v>286</v>
      </c>
      <c r="B287" s="17" t="s">
        <v>77</v>
      </c>
      <c r="C287" s="17" t="s">
        <v>121</v>
      </c>
      <c r="D287" s="17" t="s">
        <v>103</v>
      </c>
      <c r="E287" s="16" t="str">
        <f aca="false">IFERROR(INDEX(Lists!$B$2:$B$7,MATCH(B287,Lists!$A$2:$A$7,0))&amp;"-"&amp;INDEX(Series!$C$2:$C$30,MATCH(C287,Series!$B$2:$B$30,0))&amp;"-"&amp;INDEX(Part_Categories!$A$2:$A$18,MATCH(D287,Part_Categories!$B$2:$B$18,0))&amp;"-01","CHECK")</f>
        <v>VIL-V350ES-SHS-01</v>
      </c>
      <c r="F287" s="16" t="str">
        <f aca="false">E287&amp;".jpg"</f>
        <v>VIL-V350ES-SHS-01.jpg</v>
      </c>
      <c r="G287" s="18" t="str">
        <f aca="false">IFERROR(INDEX(Series!$F$2:$F$30,MATCH(C287,Series!$B$2:$B$30,0)),"")</f>
        <v>VMC 350ES</v>
      </c>
      <c r="H287" s="19"/>
      <c r="I287" s="19"/>
      <c r="J287" s="19"/>
      <c r="K287" s="19" t="s">
        <v>70</v>
      </c>
      <c r="L287" s="19"/>
      <c r="M287" s="19"/>
      <c r="N287" s="19"/>
      <c r="O287" s="18" t="str">
        <f aca="false">C287&amp;" "&amp;D287&amp;" spare part - Efforts Engineers"</f>
        <v>Vilter VMC 350ES Series Shaft Seal spare part - Efforts Engineers</v>
      </c>
      <c r="P287" s="16" t="str">
        <f aca="false">IFERROR("/"&amp;LOWER(B287)&amp;"/"&amp;INDEX(Series!$D$2:$D$30,MATCH(C287,Series!$B$2:$B$30,0))&amp;"/"&amp;INDEX(Part_Categories!$C$2:$C$18,MATCH(D287,Part_Categories!$B$2:$B$18,0)),"CHECK")</f>
        <v>/vilter/vmc-350es/shaft-seal</v>
      </c>
      <c r="Q287" s="19"/>
    </row>
    <row r="288" customFormat="false" ht="23.85" hidden="false" customHeight="false" outlineLevel="0" collapsed="false">
      <c r="A288" s="16" t="n">
        <f aca="false">ROW()-1</f>
        <v>287</v>
      </c>
      <c r="B288" s="17" t="s">
        <v>77</v>
      </c>
      <c r="C288" s="17" t="s">
        <v>121</v>
      </c>
      <c r="D288" s="17" t="s">
        <v>104</v>
      </c>
      <c r="E288" s="16" t="str">
        <f aca="false">IFERROR(INDEX(Lists!$B$2:$B$7,MATCH(B288,Lists!$A$2:$A$7,0))&amp;"-"&amp;INDEX(Series!$C$2:$C$30,MATCH(C288,Series!$B$2:$B$30,0))&amp;"-"&amp;INDEX(Part_Categories!$A$2:$A$18,MATCH(D288,Part_Categories!$B$2:$B$18,0))&amp;"-01","CHECK")</f>
        <v>VIL-V350ES-FLT-01</v>
      </c>
      <c r="F288" s="16" t="str">
        <f aca="false">E288&amp;".jpg"</f>
        <v>VIL-V350ES-FLT-01.jpg</v>
      </c>
      <c r="G288" s="18" t="str">
        <f aca="false">IFERROR(INDEX(Series!$F$2:$F$30,MATCH(C288,Series!$B$2:$B$30,0)),"")</f>
        <v>VMC 350ES</v>
      </c>
      <c r="H288" s="19"/>
      <c r="I288" s="19"/>
      <c r="J288" s="19"/>
      <c r="K288" s="19" t="s">
        <v>70</v>
      </c>
      <c r="L288" s="19"/>
      <c r="M288" s="19"/>
      <c r="N288" s="19"/>
      <c r="O288" s="18" t="str">
        <f aca="false">C288&amp;" "&amp;D288&amp;" spare part - Efforts Engineers"</f>
        <v>Vilter VMC 350ES Series Oil Filter and Strainer spare part - Efforts Engineers</v>
      </c>
      <c r="P288" s="16" t="str">
        <f aca="false">IFERROR("/"&amp;LOWER(B288)&amp;"/"&amp;INDEX(Series!$D$2:$D$30,MATCH(C288,Series!$B$2:$B$30,0))&amp;"/"&amp;INDEX(Part_Categories!$C$2:$C$18,MATCH(D288,Part_Categories!$B$2:$B$18,0)),"CHECK")</f>
        <v>/vilter/vmc-350es/oil-filter-and-strainer</v>
      </c>
      <c r="Q288" s="19"/>
    </row>
    <row r="289" customFormat="false" ht="23.85" hidden="false" customHeight="false" outlineLevel="0" collapsed="false">
      <c r="A289" s="16" t="n">
        <f aca="false">ROW()-1</f>
        <v>288</v>
      </c>
      <c r="B289" s="17" t="s">
        <v>77</v>
      </c>
      <c r="C289" s="17" t="s">
        <v>121</v>
      </c>
      <c r="D289" s="17" t="s">
        <v>105</v>
      </c>
      <c r="E289" s="16" t="str">
        <f aca="false">IFERROR(INDEX(Lists!$B$2:$B$7,MATCH(B289,Lists!$A$2:$A$7,0))&amp;"-"&amp;INDEX(Series!$C$2:$C$30,MATCH(C289,Series!$B$2:$B$30,0))&amp;"-"&amp;INDEX(Part_Categories!$A$2:$A$18,MATCH(D289,Part_Categories!$B$2:$B$18,0))&amp;"-01","CHECK")</f>
        <v>VIL-V350ES-ULD-01</v>
      </c>
      <c r="F289" s="16" t="str">
        <f aca="false">E289&amp;".jpg"</f>
        <v>VIL-V350ES-ULD-01.jpg</v>
      </c>
      <c r="G289" s="18" t="str">
        <f aca="false">IFERROR(INDEX(Series!$F$2:$F$30,MATCH(C289,Series!$B$2:$B$30,0)),"")</f>
        <v>VMC 350ES</v>
      </c>
      <c r="H289" s="19"/>
      <c r="I289" s="19"/>
      <c r="J289" s="19"/>
      <c r="K289" s="19" t="s">
        <v>70</v>
      </c>
      <c r="L289" s="19"/>
      <c r="M289" s="19"/>
      <c r="N289" s="19"/>
      <c r="O289" s="18" t="str">
        <f aca="false">C289&amp;" "&amp;D289&amp;" spare part - Efforts Engineers"</f>
        <v>Vilter VMC 350ES Series Unloader and Capacity Control spare part - Efforts Engineers</v>
      </c>
      <c r="P289" s="16" t="str">
        <f aca="false">IFERROR("/"&amp;LOWER(B289)&amp;"/"&amp;INDEX(Series!$D$2:$D$30,MATCH(C289,Series!$B$2:$B$30,0))&amp;"/"&amp;INDEX(Part_Categories!$C$2:$C$18,MATCH(D289,Part_Categories!$B$2:$B$18,0)),"CHECK")</f>
        <v>/vilter/vmc-350es/unloader-and-capacity-control</v>
      </c>
      <c r="Q289" s="19"/>
    </row>
    <row r="290" customFormat="false" ht="23.85" hidden="false" customHeight="false" outlineLevel="0" collapsed="false">
      <c r="A290" s="16" t="n">
        <f aca="false">ROW()-1</f>
        <v>289</v>
      </c>
      <c r="B290" s="17" t="s">
        <v>77</v>
      </c>
      <c r="C290" s="17" t="s">
        <v>121</v>
      </c>
      <c r="D290" s="17" t="s">
        <v>106</v>
      </c>
      <c r="E290" s="16" t="str">
        <f aca="false">IFERROR(INDEX(Lists!$B$2:$B$7,MATCH(B290,Lists!$A$2:$A$7,0))&amp;"-"&amp;INDEX(Series!$C$2:$C$30,MATCH(C290,Series!$B$2:$B$30,0))&amp;"-"&amp;INDEX(Part_Categories!$A$2:$A$18,MATCH(D290,Part_Categories!$B$2:$B$18,0))&amp;"-01","CHECK")</f>
        <v>VIL-V350ES-SAF-01</v>
      </c>
      <c r="F290" s="16" t="str">
        <f aca="false">E290&amp;".jpg"</f>
        <v>VIL-V350ES-SAF-01.jpg</v>
      </c>
      <c r="G290" s="18" t="str">
        <f aca="false">IFERROR(INDEX(Series!$F$2:$F$30,MATCH(C290,Series!$B$2:$B$30,0)),"")</f>
        <v>VMC 350ES</v>
      </c>
      <c r="H290" s="19"/>
      <c r="I290" s="19"/>
      <c r="J290" s="19"/>
      <c r="K290" s="19" t="s">
        <v>70</v>
      </c>
      <c r="L290" s="19"/>
      <c r="M290" s="19"/>
      <c r="N290" s="19"/>
      <c r="O290" s="18" t="str">
        <f aca="false">C290&amp;" "&amp;D290&amp;" spare part - Efforts Engineers"</f>
        <v>Vilter VMC 350ES Series Safety Head and Relief Valve spare part - Efforts Engineers</v>
      </c>
      <c r="P290" s="16" t="str">
        <f aca="false">IFERROR("/"&amp;LOWER(B290)&amp;"/"&amp;INDEX(Series!$D$2:$D$30,MATCH(C290,Series!$B$2:$B$30,0))&amp;"/"&amp;INDEX(Part_Categories!$C$2:$C$18,MATCH(D290,Part_Categories!$B$2:$B$18,0)),"CHECK")</f>
        <v>/vilter/vmc-350es/safety-head-and-relief-valve</v>
      </c>
      <c r="Q290" s="19"/>
    </row>
    <row r="291" customFormat="false" ht="23.85" hidden="false" customHeight="false" outlineLevel="0" collapsed="false">
      <c r="A291" s="16" t="n">
        <f aca="false">ROW()-1</f>
        <v>290</v>
      </c>
      <c r="B291" s="17" t="s">
        <v>78</v>
      </c>
      <c r="C291" s="17" t="s">
        <v>122</v>
      </c>
      <c r="D291" s="17" t="s">
        <v>58</v>
      </c>
      <c r="E291" s="16" t="str">
        <f aca="false">IFERROR(INDEX(Lists!$B$2:$B$7,MATCH(B291,Lists!$A$2:$A$7,0))&amp;"-"&amp;INDEX(Series!$C$2:$C$30,MATCH(C291,Series!$B$2:$B$30,0))&amp;"-"&amp;INDEX(Part_Categories!$A$2:$A$18,MATCH(D291,Part_Categories!$B$2:$B$18,0))&amp;"-01","CHECK")</f>
        <v>MYC-A-CLN-01</v>
      </c>
      <c r="F291" s="16" t="str">
        <f aca="false">E291&amp;".jpg"</f>
        <v>MYC-A-CLN-01.jpg</v>
      </c>
      <c r="G291" s="18" t="str">
        <f aca="false">IFERROR(INDEX(Series!$F$2:$F$30,MATCH(C291,Series!$B$2:$B$30,0)),"")</f>
        <v>N2A, N4A, N6A, N8A, N42A</v>
      </c>
      <c r="H291" s="19"/>
      <c r="I291" s="19"/>
      <c r="J291" s="19"/>
      <c r="K291" s="19" t="s">
        <v>70</v>
      </c>
      <c r="L291" s="19"/>
      <c r="M291" s="19"/>
      <c r="N291" s="19"/>
      <c r="O291" s="18" t="str">
        <f aca="false">C291&amp;" "&amp;D291&amp;" spare part - Efforts Engineers"</f>
        <v>Mycom A Series Cylinder Liner spare part - Efforts Engineers</v>
      </c>
      <c r="P291" s="16" t="str">
        <f aca="false">IFERROR("/"&amp;LOWER(B291)&amp;"/"&amp;INDEX(Series!$D$2:$D$30,MATCH(C291,Series!$B$2:$B$30,0))&amp;"/"&amp;INDEX(Part_Categories!$C$2:$C$18,MATCH(D291,Part_Categories!$B$2:$B$18,0)),"CHECK")</f>
        <v>/mycom/a-series/cylinder-liner</v>
      </c>
      <c r="Q291" s="19"/>
    </row>
    <row r="292" customFormat="false" ht="23.85" hidden="false" customHeight="false" outlineLevel="0" collapsed="false">
      <c r="A292" s="16" t="n">
        <f aca="false">ROW()-1</f>
        <v>291</v>
      </c>
      <c r="B292" s="17" t="s">
        <v>78</v>
      </c>
      <c r="C292" s="17" t="s">
        <v>122</v>
      </c>
      <c r="D292" s="17" t="s">
        <v>91</v>
      </c>
      <c r="E292" s="16" t="str">
        <f aca="false">IFERROR(INDEX(Lists!$B$2:$B$7,MATCH(B292,Lists!$A$2:$A$7,0))&amp;"-"&amp;INDEX(Series!$C$2:$C$30,MATCH(C292,Series!$B$2:$B$30,0))&amp;"-"&amp;INDEX(Part_Categories!$A$2:$A$18,MATCH(D292,Part_Categories!$B$2:$B$18,0))&amp;"-01","CHECK")</f>
        <v>MYC-A-PST-01</v>
      </c>
      <c r="F292" s="16" t="str">
        <f aca="false">E292&amp;".jpg"</f>
        <v>MYC-A-PST-01.jpg</v>
      </c>
      <c r="G292" s="18" t="str">
        <f aca="false">IFERROR(INDEX(Series!$F$2:$F$30,MATCH(C292,Series!$B$2:$B$30,0)),"")</f>
        <v>N2A, N4A, N6A, N8A, N42A</v>
      </c>
      <c r="H292" s="19"/>
      <c r="I292" s="19"/>
      <c r="J292" s="19"/>
      <c r="K292" s="19" t="s">
        <v>70</v>
      </c>
      <c r="L292" s="19"/>
      <c r="M292" s="19"/>
      <c r="N292" s="19"/>
      <c r="O292" s="18" t="str">
        <f aca="false">C292&amp;" "&amp;D292&amp;" spare part - Efforts Engineers"</f>
        <v>Mycom A Series Piston Assembly spare part - Efforts Engineers</v>
      </c>
      <c r="P292" s="16" t="str">
        <f aca="false">IFERROR("/"&amp;LOWER(B292)&amp;"/"&amp;INDEX(Series!$D$2:$D$30,MATCH(C292,Series!$B$2:$B$30,0))&amp;"/"&amp;INDEX(Part_Categories!$C$2:$C$18,MATCH(D292,Part_Categories!$B$2:$B$18,0)),"CHECK")</f>
        <v>/mycom/a-series/piston-assembly</v>
      </c>
      <c r="Q292" s="19"/>
    </row>
    <row r="293" customFormat="false" ht="23.85" hidden="false" customHeight="false" outlineLevel="0" collapsed="false">
      <c r="A293" s="16" t="n">
        <f aca="false">ROW()-1</f>
        <v>292</v>
      </c>
      <c r="B293" s="17" t="s">
        <v>78</v>
      </c>
      <c r="C293" s="17" t="s">
        <v>122</v>
      </c>
      <c r="D293" s="17" t="s">
        <v>92</v>
      </c>
      <c r="E293" s="16" t="str">
        <f aca="false">IFERROR(INDEX(Lists!$B$2:$B$7,MATCH(B293,Lists!$A$2:$A$7,0))&amp;"-"&amp;INDEX(Series!$C$2:$C$30,MATCH(C293,Series!$B$2:$B$30,0))&amp;"-"&amp;INDEX(Part_Categories!$A$2:$A$18,MATCH(D293,Part_Categories!$B$2:$B$18,0))&amp;"-01","CHECK")</f>
        <v>MYC-A-PRG-01</v>
      </c>
      <c r="F293" s="16" t="str">
        <f aca="false">E293&amp;".jpg"</f>
        <v>MYC-A-PRG-01.jpg</v>
      </c>
      <c r="G293" s="18" t="str">
        <f aca="false">IFERROR(INDEX(Series!$F$2:$F$30,MATCH(C293,Series!$B$2:$B$30,0)),"")</f>
        <v>N2A, N4A, N6A, N8A, N42A</v>
      </c>
      <c r="H293" s="19"/>
      <c r="I293" s="19"/>
      <c r="J293" s="19"/>
      <c r="K293" s="19" t="s">
        <v>70</v>
      </c>
      <c r="L293" s="19"/>
      <c r="M293" s="19"/>
      <c r="N293" s="19"/>
      <c r="O293" s="18" t="str">
        <f aca="false">C293&amp;" "&amp;D293&amp;" spare part - Efforts Engineers"</f>
        <v>Mycom A Series Piston Ring Set spare part - Efforts Engineers</v>
      </c>
      <c r="P293" s="16" t="str">
        <f aca="false">IFERROR("/"&amp;LOWER(B293)&amp;"/"&amp;INDEX(Series!$D$2:$D$30,MATCH(C293,Series!$B$2:$B$30,0))&amp;"/"&amp;INDEX(Part_Categories!$C$2:$C$18,MATCH(D293,Part_Categories!$B$2:$B$18,0)),"CHECK")</f>
        <v>/mycom/a-series/piston-ring-set</v>
      </c>
      <c r="Q293" s="19"/>
    </row>
    <row r="294" customFormat="false" ht="23.85" hidden="false" customHeight="false" outlineLevel="0" collapsed="false">
      <c r="A294" s="16" t="n">
        <f aca="false">ROW()-1</f>
        <v>293</v>
      </c>
      <c r="B294" s="17" t="s">
        <v>78</v>
      </c>
      <c r="C294" s="17" t="s">
        <v>122</v>
      </c>
      <c r="D294" s="17" t="s">
        <v>93</v>
      </c>
      <c r="E294" s="16" t="str">
        <f aca="false">IFERROR(INDEX(Lists!$B$2:$B$7,MATCH(B294,Lists!$A$2:$A$7,0))&amp;"-"&amp;INDEX(Series!$C$2:$C$30,MATCH(C294,Series!$B$2:$B$30,0))&amp;"-"&amp;INDEX(Part_Categories!$A$2:$A$18,MATCH(D294,Part_Categories!$B$2:$B$18,0))&amp;"-01","CHECK")</f>
        <v>MYC-A-CRD-01</v>
      </c>
      <c r="F294" s="16" t="str">
        <f aca="false">E294&amp;".jpg"</f>
        <v>MYC-A-CRD-01.jpg</v>
      </c>
      <c r="G294" s="18" t="str">
        <f aca="false">IFERROR(INDEX(Series!$F$2:$F$30,MATCH(C294,Series!$B$2:$B$30,0)),"")</f>
        <v>N2A, N4A, N6A, N8A, N42A</v>
      </c>
      <c r="H294" s="19"/>
      <c r="I294" s="19"/>
      <c r="J294" s="19"/>
      <c r="K294" s="19" t="s">
        <v>70</v>
      </c>
      <c r="L294" s="19"/>
      <c r="M294" s="19"/>
      <c r="N294" s="19"/>
      <c r="O294" s="18" t="str">
        <f aca="false">C294&amp;" "&amp;D294&amp;" spare part - Efforts Engineers"</f>
        <v>Mycom A Series Connecting Rod spare part - Efforts Engineers</v>
      </c>
      <c r="P294" s="16" t="str">
        <f aca="false">IFERROR("/"&amp;LOWER(B294)&amp;"/"&amp;INDEX(Series!$D$2:$D$30,MATCH(C294,Series!$B$2:$B$30,0))&amp;"/"&amp;INDEX(Part_Categories!$C$2:$C$18,MATCH(D294,Part_Categories!$B$2:$B$18,0)),"CHECK")</f>
        <v>/mycom/a-series/connecting-rod</v>
      </c>
      <c r="Q294" s="19"/>
    </row>
    <row r="295" customFormat="false" ht="23.85" hidden="false" customHeight="false" outlineLevel="0" collapsed="false">
      <c r="A295" s="16" t="n">
        <f aca="false">ROW()-1</f>
        <v>294</v>
      </c>
      <c r="B295" s="17" t="s">
        <v>78</v>
      </c>
      <c r="C295" s="17" t="s">
        <v>122</v>
      </c>
      <c r="D295" s="17" t="s">
        <v>94</v>
      </c>
      <c r="E295" s="16" t="str">
        <f aca="false">IFERROR(INDEX(Lists!$B$2:$B$7,MATCH(B295,Lists!$A$2:$A$7,0))&amp;"-"&amp;INDEX(Series!$C$2:$C$30,MATCH(C295,Series!$B$2:$B$30,0))&amp;"-"&amp;INDEX(Part_Categories!$A$2:$A$18,MATCH(D295,Part_Categories!$B$2:$B$18,0))&amp;"-01","CHECK")</f>
        <v>MYC-A-CRK-01</v>
      </c>
      <c r="F295" s="16" t="str">
        <f aca="false">E295&amp;".jpg"</f>
        <v>MYC-A-CRK-01.jpg</v>
      </c>
      <c r="G295" s="18" t="str">
        <f aca="false">IFERROR(INDEX(Series!$F$2:$F$30,MATCH(C295,Series!$B$2:$B$30,0)),"")</f>
        <v>N2A, N4A, N6A, N8A, N42A</v>
      </c>
      <c r="H295" s="19"/>
      <c r="I295" s="19"/>
      <c r="J295" s="19"/>
      <c r="K295" s="19" t="s">
        <v>70</v>
      </c>
      <c r="L295" s="19"/>
      <c r="M295" s="19"/>
      <c r="N295" s="19"/>
      <c r="O295" s="18" t="str">
        <f aca="false">C295&amp;" "&amp;D295&amp;" spare part - Efforts Engineers"</f>
        <v>Mycom A Series Crankshaft spare part - Efforts Engineers</v>
      </c>
      <c r="P295" s="16" t="str">
        <f aca="false">IFERROR("/"&amp;LOWER(B295)&amp;"/"&amp;INDEX(Series!$D$2:$D$30,MATCH(C295,Series!$B$2:$B$30,0))&amp;"/"&amp;INDEX(Part_Categories!$C$2:$C$18,MATCH(D295,Part_Categories!$B$2:$B$18,0)),"CHECK")</f>
        <v>/mycom/a-series/crankshaft</v>
      </c>
      <c r="Q295" s="19"/>
    </row>
    <row r="296" customFormat="false" ht="23.85" hidden="false" customHeight="false" outlineLevel="0" collapsed="false">
      <c r="A296" s="16" t="n">
        <f aca="false">ROW()-1</f>
        <v>295</v>
      </c>
      <c r="B296" s="17" t="s">
        <v>78</v>
      </c>
      <c r="C296" s="17" t="s">
        <v>122</v>
      </c>
      <c r="D296" s="17" t="s">
        <v>95</v>
      </c>
      <c r="E296" s="16" t="str">
        <f aca="false">IFERROR(INDEX(Lists!$B$2:$B$7,MATCH(B296,Lists!$A$2:$A$7,0))&amp;"-"&amp;INDEX(Series!$C$2:$C$30,MATCH(C296,Series!$B$2:$B$30,0))&amp;"-"&amp;INDEX(Part_Categories!$A$2:$A$18,MATCH(D296,Part_Categories!$B$2:$B$18,0))&amp;"-01","CHECK")</f>
        <v>MYC-A-PIN-01</v>
      </c>
      <c r="F296" s="16" t="str">
        <f aca="false">E296&amp;".jpg"</f>
        <v>MYC-A-PIN-01.jpg</v>
      </c>
      <c r="G296" s="18" t="str">
        <f aca="false">IFERROR(INDEX(Series!$F$2:$F$30,MATCH(C296,Series!$B$2:$B$30,0)),"")</f>
        <v>N2A, N4A, N6A, N8A, N42A</v>
      </c>
      <c r="H296" s="19"/>
      <c r="I296" s="19"/>
      <c r="J296" s="19"/>
      <c r="K296" s="19" t="s">
        <v>70</v>
      </c>
      <c r="L296" s="19"/>
      <c r="M296" s="19"/>
      <c r="N296" s="19"/>
      <c r="O296" s="18" t="str">
        <f aca="false">C296&amp;" "&amp;D296&amp;" spare part - Efforts Engineers"</f>
        <v>Mycom A Series Gudgeon Pin and Bush spare part - Efforts Engineers</v>
      </c>
      <c r="P296" s="16" t="str">
        <f aca="false">IFERROR("/"&amp;LOWER(B296)&amp;"/"&amp;INDEX(Series!$D$2:$D$30,MATCH(C296,Series!$B$2:$B$30,0))&amp;"/"&amp;INDEX(Part_Categories!$C$2:$C$18,MATCH(D296,Part_Categories!$B$2:$B$18,0)),"CHECK")</f>
        <v>/mycom/a-series/gudgeon-pin-and-bush</v>
      </c>
      <c r="Q296" s="19"/>
    </row>
    <row r="297" customFormat="false" ht="23.85" hidden="false" customHeight="false" outlineLevel="0" collapsed="false">
      <c r="A297" s="16" t="n">
        <f aca="false">ROW()-1</f>
        <v>296</v>
      </c>
      <c r="B297" s="17" t="s">
        <v>78</v>
      </c>
      <c r="C297" s="17" t="s">
        <v>122</v>
      </c>
      <c r="D297" s="17" t="s">
        <v>96</v>
      </c>
      <c r="E297" s="16" t="str">
        <f aca="false">IFERROR(INDEX(Lists!$B$2:$B$7,MATCH(B297,Lists!$A$2:$A$7,0))&amp;"-"&amp;INDEX(Series!$C$2:$C$30,MATCH(C297,Series!$B$2:$B$30,0))&amp;"-"&amp;INDEX(Part_Categories!$A$2:$A$18,MATCH(D297,Part_Categories!$B$2:$B$18,0))&amp;"-01","CHECK")</f>
        <v>MYC-A-BRG-01</v>
      </c>
      <c r="F297" s="16" t="str">
        <f aca="false">E297&amp;".jpg"</f>
        <v>MYC-A-BRG-01.jpg</v>
      </c>
      <c r="G297" s="18" t="str">
        <f aca="false">IFERROR(INDEX(Series!$F$2:$F$30,MATCH(C297,Series!$B$2:$B$30,0)),"")</f>
        <v>N2A, N4A, N6A, N8A, N42A</v>
      </c>
      <c r="H297" s="19"/>
      <c r="I297" s="19"/>
      <c r="J297" s="19"/>
      <c r="K297" s="19" t="s">
        <v>70</v>
      </c>
      <c r="L297" s="19"/>
      <c r="M297" s="19"/>
      <c r="N297" s="19"/>
      <c r="O297" s="18" t="str">
        <f aca="false">C297&amp;" "&amp;D297&amp;" spare part - Efforts Engineers"</f>
        <v>Mycom A Series Main Bearing and Bush spare part - Efforts Engineers</v>
      </c>
      <c r="P297" s="16" t="str">
        <f aca="false">IFERROR("/"&amp;LOWER(B297)&amp;"/"&amp;INDEX(Series!$D$2:$D$30,MATCH(C297,Series!$B$2:$B$30,0))&amp;"/"&amp;INDEX(Part_Categories!$C$2:$C$18,MATCH(D297,Part_Categories!$B$2:$B$18,0)),"CHECK")</f>
        <v>/mycom/a-series/main-bearing-and-bush</v>
      </c>
      <c r="Q297" s="19"/>
    </row>
    <row r="298" customFormat="false" ht="23.85" hidden="false" customHeight="false" outlineLevel="0" collapsed="false">
      <c r="A298" s="16" t="n">
        <f aca="false">ROW()-1</f>
        <v>297</v>
      </c>
      <c r="B298" s="17" t="s">
        <v>78</v>
      </c>
      <c r="C298" s="17" t="s">
        <v>122</v>
      </c>
      <c r="D298" s="17" t="s">
        <v>97</v>
      </c>
      <c r="E298" s="16" t="str">
        <f aca="false">IFERROR(INDEX(Lists!$B$2:$B$7,MATCH(B298,Lists!$A$2:$A$7,0))&amp;"-"&amp;INDEX(Series!$C$2:$C$30,MATCH(C298,Series!$B$2:$B$30,0))&amp;"-"&amp;INDEX(Part_Categories!$A$2:$A$18,MATCH(D298,Part_Categories!$B$2:$B$18,0))&amp;"-01","CHECK")</f>
        <v>MYC-A-SVP-01</v>
      </c>
      <c r="F298" s="16" t="str">
        <f aca="false">E298&amp;".jpg"</f>
        <v>MYC-A-SVP-01.jpg</v>
      </c>
      <c r="G298" s="18" t="str">
        <f aca="false">IFERROR(INDEX(Series!$F$2:$F$30,MATCH(C298,Series!$B$2:$B$30,0)),"")</f>
        <v>N2A, N4A, N6A, N8A, N42A</v>
      </c>
      <c r="H298" s="19"/>
      <c r="I298" s="19"/>
      <c r="J298" s="19"/>
      <c r="K298" s="19" t="s">
        <v>70</v>
      </c>
      <c r="L298" s="19"/>
      <c r="M298" s="19"/>
      <c r="N298" s="19"/>
      <c r="O298" s="18" t="str">
        <f aca="false">C298&amp;" "&amp;D298&amp;" spare part - Efforts Engineers"</f>
        <v>Mycom A Series Suction Valve Plate spare part - Efforts Engineers</v>
      </c>
      <c r="P298" s="16" t="str">
        <f aca="false">IFERROR("/"&amp;LOWER(B298)&amp;"/"&amp;INDEX(Series!$D$2:$D$30,MATCH(C298,Series!$B$2:$B$30,0))&amp;"/"&amp;INDEX(Part_Categories!$C$2:$C$18,MATCH(D298,Part_Categories!$B$2:$B$18,0)),"CHECK")</f>
        <v>/mycom/a-series/suction-valve-plate</v>
      </c>
      <c r="Q298" s="19"/>
    </row>
    <row r="299" customFormat="false" ht="23.85" hidden="false" customHeight="false" outlineLevel="0" collapsed="false">
      <c r="A299" s="16" t="n">
        <f aca="false">ROW()-1</f>
        <v>298</v>
      </c>
      <c r="B299" s="17" t="s">
        <v>78</v>
      </c>
      <c r="C299" s="17" t="s">
        <v>122</v>
      </c>
      <c r="D299" s="17" t="s">
        <v>98</v>
      </c>
      <c r="E299" s="16" t="str">
        <f aca="false">IFERROR(INDEX(Lists!$B$2:$B$7,MATCH(B299,Lists!$A$2:$A$7,0))&amp;"-"&amp;INDEX(Series!$C$2:$C$30,MATCH(C299,Series!$B$2:$B$30,0))&amp;"-"&amp;INDEX(Part_Categories!$A$2:$A$18,MATCH(D299,Part_Categories!$B$2:$B$18,0))&amp;"-01","CHECK")</f>
        <v>MYC-A-DVA-01</v>
      </c>
      <c r="F299" s="16" t="str">
        <f aca="false">E299&amp;".jpg"</f>
        <v>MYC-A-DVA-01.jpg</v>
      </c>
      <c r="G299" s="18" t="str">
        <f aca="false">IFERROR(INDEX(Series!$F$2:$F$30,MATCH(C299,Series!$B$2:$B$30,0)),"")</f>
        <v>N2A, N4A, N6A, N8A, N42A</v>
      </c>
      <c r="H299" s="19"/>
      <c r="I299" s="19"/>
      <c r="J299" s="19"/>
      <c r="K299" s="19" t="s">
        <v>70</v>
      </c>
      <c r="L299" s="19"/>
      <c r="M299" s="19"/>
      <c r="N299" s="19"/>
      <c r="O299" s="18" t="str">
        <f aca="false">C299&amp;" "&amp;D299&amp;" spare part - Efforts Engineers"</f>
        <v>Mycom A Series Discharge Valve Assembly spare part - Efforts Engineers</v>
      </c>
      <c r="P299" s="16" t="str">
        <f aca="false">IFERROR("/"&amp;LOWER(B299)&amp;"/"&amp;INDEX(Series!$D$2:$D$30,MATCH(C299,Series!$B$2:$B$30,0))&amp;"/"&amp;INDEX(Part_Categories!$C$2:$C$18,MATCH(D299,Part_Categories!$B$2:$B$18,0)),"CHECK")</f>
        <v>/mycom/a-series/discharge-valve-assembly</v>
      </c>
      <c r="Q299" s="19"/>
    </row>
    <row r="300" customFormat="false" ht="23.85" hidden="false" customHeight="false" outlineLevel="0" collapsed="false">
      <c r="A300" s="16" t="n">
        <f aca="false">ROW()-1</f>
        <v>299</v>
      </c>
      <c r="B300" s="17" t="s">
        <v>78</v>
      </c>
      <c r="C300" s="17" t="s">
        <v>122</v>
      </c>
      <c r="D300" s="17" t="s">
        <v>99</v>
      </c>
      <c r="E300" s="16" t="str">
        <f aca="false">IFERROR(INDEX(Lists!$B$2:$B$7,MATCH(B300,Lists!$A$2:$A$7,0))&amp;"-"&amp;INDEX(Series!$C$2:$C$30,MATCH(C300,Series!$B$2:$B$30,0))&amp;"-"&amp;INDEX(Part_Categories!$A$2:$A$18,MATCH(D300,Part_Categories!$B$2:$B$18,0))&amp;"-01","CHECK")</f>
        <v>MYC-A-VSP-01</v>
      </c>
      <c r="F300" s="16" t="str">
        <f aca="false">E300&amp;".jpg"</f>
        <v>MYC-A-VSP-01.jpg</v>
      </c>
      <c r="G300" s="18" t="str">
        <f aca="false">IFERROR(INDEX(Series!$F$2:$F$30,MATCH(C300,Series!$B$2:$B$30,0)),"")</f>
        <v>N2A, N4A, N6A, N8A, N42A</v>
      </c>
      <c r="H300" s="19"/>
      <c r="I300" s="19"/>
      <c r="J300" s="19"/>
      <c r="K300" s="19" t="s">
        <v>70</v>
      </c>
      <c r="L300" s="19"/>
      <c r="M300" s="19"/>
      <c r="N300" s="19"/>
      <c r="O300" s="18" t="str">
        <f aca="false">C300&amp;" "&amp;D300&amp;" spare part - Efforts Engineers"</f>
        <v>Mycom A Series Valve Spring and Cage spare part - Efforts Engineers</v>
      </c>
      <c r="P300" s="16" t="str">
        <f aca="false">IFERROR("/"&amp;LOWER(B300)&amp;"/"&amp;INDEX(Series!$D$2:$D$30,MATCH(C300,Series!$B$2:$B$30,0))&amp;"/"&amp;INDEX(Part_Categories!$C$2:$C$18,MATCH(D300,Part_Categories!$B$2:$B$18,0)),"CHECK")</f>
        <v>/mycom/a-series/valve-spring-and-cage</v>
      </c>
      <c r="Q300" s="19"/>
    </row>
    <row r="301" customFormat="false" ht="23.85" hidden="false" customHeight="false" outlineLevel="0" collapsed="false">
      <c r="A301" s="16" t="n">
        <f aca="false">ROW()-1</f>
        <v>300</v>
      </c>
      <c r="B301" s="17" t="s">
        <v>78</v>
      </c>
      <c r="C301" s="17" t="s">
        <v>122</v>
      </c>
      <c r="D301" s="17" t="s">
        <v>100</v>
      </c>
      <c r="E301" s="16" t="str">
        <f aca="false">IFERROR(INDEX(Lists!$B$2:$B$7,MATCH(B301,Lists!$A$2:$A$7,0))&amp;"-"&amp;INDEX(Series!$C$2:$C$30,MATCH(C301,Series!$B$2:$B$30,0))&amp;"-"&amp;INDEX(Part_Categories!$A$2:$A$18,MATCH(D301,Part_Categories!$B$2:$B$18,0))&amp;"-01","CHECK")</f>
        <v>MYC-A-HDC-01</v>
      </c>
      <c r="F301" s="16" t="str">
        <f aca="false">E301&amp;".jpg"</f>
        <v>MYC-A-HDC-01.jpg</v>
      </c>
      <c r="G301" s="18" t="str">
        <f aca="false">IFERROR(INDEX(Series!$F$2:$F$30,MATCH(C301,Series!$B$2:$B$30,0)),"")</f>
        <v>N2A, N4A, N6A, N8A, N42A</v>
      </c>
      <c r="H301" s="19"/>
      <c r="I301" s="19"/>
      <c r="J301" s="19"/>
      <c r="K301" s="19" t="s">
        <v>70</v>
      </c>
      <c r="L301" s="19"/>
      <c r="M301" s="19"/>
      <c r="N301" s="19"/>
      <c r="O301" s="18" t="str">
        <f aca="false">C301&amp;" "&amp;D301&amp;" spare part - Efforts Engineers"</f>
        <v>Mycom A Series Cylinder Head Cover spare part - Efforts Engineers</v>
      </c>
      <c r="P301" s="16" t="str">
        <f aca="false">IFERROR("/"&amp;LOWER(B301)&amp;"/"&amp;INDEX(Series!$D$2:$D$30,MATCH(C301,Series!$B$2:$B$30,0))&amp;"/"&amp;INDEX(Part_Categories!$C$2:$C$18,MATCH(D301,Part_Categories!$B$2:$B$18,0)),"CHECK")</f>
        <v>/mycom/a-series/cylinder-head-cover</v>
      </c>
      <c r="Q301" s="19"/>
    </row>
    <row r="302" customFormat="false" ht="23.85" hidden="false" customHeight="false" outlineLevel="0" collapsed="false">
      <c r="A302" s="16" t="n">
        <f aca="false">ROW()-1</f>
        <v>301</v>
      </c>
      <c r="B302" s="17" t="s">
        <v>78</v>
      </c>
      <c r="C302" s="17" t="s">
        <v>122</v>
      </c>
      <c r="D302" s="17" t="s">
        <v>101</v>
      </c>
      <c r="E302" s="16" t="str">
        <f aca="false">IFERROR(INDEX(Lists!$B$2:$B$7,MATCH(B302,Lists!$A$2:$A$7,0))&amp;"-"&amp;INDEX(Series!$C$2:$C$30,MATCH(C302,Series!$B$2:$B$30,0))&amp;"-"&amp;INDEX(Part_Categories!$A$2:$A$18,MATCH(D302,Part_Categories!$B$2:$B$18,0))&amp;"-01","CHECK")</f>
        <v>MYC-A-GSK-01</v>
      </c>
      <c r="F302" s="16" t="str">
        <f aca="false">E302&amp;".jpg"</f>
        <v>MYC-A-GSK-01.jpg</v>
      </c>
      <c r="G302" s="18" t="str">
        <f aca="false">IFERROR(INDEX(Series!$F$2:$F$30,MATCH(C302,Series!$B$2:$B$30,0)),"")</f>
        <v>N2A, N4A, N6A, N8A, N42A</v>
      </c>
      <c r="H302" s="19"/>
      <c r="I302" s="19"/>
      <c r="J302" s="19"/>
      <c r="K302" s="19" t="s">
        <v>70</v>
      </c>
      <c r="L302" s="19"/>
      <c r="M302" s="19"/>
      <c r="N302" s="19"/>
      <c r="O302" s="18" t="str">
        <f aca="false">C302&amp;" "&amp;D302&amp;" spare part - Efforts Engineers"</f>
        <v>Mycom A Series Gasket and Overhaul Kit spare part - Efforts Engineers</v>
      </c>
      <c r="P302" s="16" t="str">
        <f aca="false">IFERROR("/"&amp;LOWER(B302)&amp;"/"&amp;INDEX(Series!$D$2:$D$30,MATCH(C302,Series!$B$2:$B$30,0))&amp;"/"&amp;INDEX(Part_Categories!$C$2:$C$18,MATCH(D302,Part_Categories!$B$2:$B$18,0)),"CHECK")</f>
        <v>/mycom/a-series/gasket-and-overhaul-kit</v>
      </c>
      <c r="Q302" s="19"/>
    </row>
    <row r="303" customFormat="false" ht="23.85" hidden="false" customHeight="false" outlineLevel="0" collapsed="false">
      <c r="A303" s="16" t="n">
        <f aca="false">ROW()-1</f>
        <v>302</v>
      </c>
      <c r="B303" s="17" t="s">
        <v>78</v>
      </c>
      <c r="C303" s="17" t="s">
        <v>122</v>
      </c>
      <c r="D303" s="17" t="s">
        <v>102</v>
      </c>
      <c r="E303" s="16" t="str">
        <f aca="false">IFERROR(INDEX(Lists!$B$2:$B$7,MATCH(B303,Lists!$A$2:$A$7,0))&amp;"-"&amp;INDEX(Series!$C$2:$C$30,MATCH(C303,Series!$B$2:$B$30,0))&amp;"-"&amp;INDEX(Part_Categories!$A$2:$A$18,MATCH(D303,Part_Categories!$B$2:$B$18,0))&amp;"-01","CHECK")</f>
        <v>MYC-A-OPA-01</v>
      </c>
      <c r="F303" s="16" t="str">
        <f aca="false">E303&amp;".jpg"</f>
        <v>MYC-A-OPA-01.jpg</v>
      </c>
      <c r="G303" s="18" t="str">
        <f aca="false">IFERROR(INDEX(Series!$F$2:$F$30,MATCH(C303,Series!$B$2:$B$30,0)),"")</f>
        <v>N2A, N4A, N6A, N8A, N42A</v>
      </c>
      <c r="H303" s="19"/>
      <c r="I303" s="19"/>
      <c r="J303" s="19"/>
      <c r="K303" s="19" t="s">
        <v>70</v>
      </c>
      <c r="L303" s="19"/>
      <c r="M303" s="19"/>
      <c r="N303" s="19"/>
      <c r="O303" s="18" t="str">
        <f aca="false">C303&amp;" "&amp;D303&amp;" spare part - Efforts Engineers"</f>
        <v>Mycom A Series Oil Pump Assembly spare part - Efforts Engineers</v>
      </c>
      <c r="P303" s="16" t="str">
        <f aca="false">IFERROR("/"&amp;LOWER(B303)&amp;"/"&amp;INDEX(Series!$D$2:$D$30,MATCH(C303,Series!$B$2:$B$30,0))&amp;"/"&amp;INDEX(Part_Categories!$C$2:$C$18,MATCH(D303,Part_Categories!$B$2:$B$18,0)),"CHECK")</f>
        <v>/mycom/a-series/oil-pump-assembly</v>
      </c>
      <c r="Q303" s="19"/>
    </row>
    <row r="304" customFormat="false" ht="23.85" hidden="false" customHeight="false" outlineLevel="0" collapsed="false">
      <c r="A304" s="16" t="n">
        <f aca="false">ROW()-1</f>
        <v>303</v>
      </c>
      <c r="B304" s="17" t="s">
        <v>78</v>
      </c>
      <c r="C304" s="17" t="s">
        <v>122</v>
      </c>
      <c r="D304" s="17" t="s">
        <v>103</v>
      </c>
      <c r="E304" s="16" t="str">
        <f aca="false">IFERROR(INDEX(Lists!$B$2:$B$7,MATCH(B304,Lists!$A$2:$A$7,0))&amp;"-"&amp;INDEX(Series!$C$2:$C$30,MATCH(C304,Series!$B$2:$B$30,0))&amp;"-"&amp;INDEX(Part_Categories!$A$2:$A$18,MATCH(D304,Part_Categories!$B$2:$B$18,0))&amp;"-01","CHECK")</f>
        <v>MYC-A-SHS-01</v>
      </c>
      <c r="F304" s="16" t="str">
        <f aca="false">E304&amp;".jpg"</f>
        <v>MYC-A-SHS-01.jpg</v>
      </c>
      <c r="G304" s="18" t="str">
        <f aca="false">IFERROR(INDEX(Series!$F$2:$F$30,MATCH(C304,Series!$B$2:$B$30,0)),"")</f>
        <v>N2A, N4A, N6A, N8A, N42A</v>
      </c>
      <c r="H304" s="19"/>
      <c r="I304" s="19"/>
      <c r="J304" s="19"/>
      <c r="K304" s="19" t="s">
        <v>70</v>
      </c>
      <c r="L304" s="19"/>
      <c r="M304" s="19"/>
      <c r="N304" s="19"/>
      <c r="O304" s="18" t="str">
        <f aca="false">C304&amp;" "&amp;D304&amp;" spare part - Efforts Engineers"</f>
        <v>Mycom A Series Shaft Seal spare part - Efforts Engineers</v>
      </c>
      <c r="P304" s="16" t="str">
        <f aca="false">IFERROR("/"&amp;LOWER(B304)&amp;"/"&amp;INDEX(Series!$D$2:$D$30,MATCH(C304,Series!$B$2:$B$30,0))&amp;"/"&amp;INDEX(Part_Categories!$C$2:$C$18,MATCH(D304,Part_Categories!$B$2:$B$18,0)),"CHECK")</f>
        <v>/mycom/a-series/shaft-seal</v>
      </c>
      <c r="Q304" s="19"/>
    </row>
    <row r="305" customFormat="false" ht="23.85" hidden="false" customHeight="false" outlineLevel="0" collapsed="false">
      <c r="A305" s="16" t="n">
        <f aca="false">ROW()-1</f>
        <v>304</v>
      </c>
      <c r="B305" s="17" t="s">
        <v>78</v>
      </c>
      <c r="C305" s="17" t="s">
        <v>122</v>
      </c>
      <c r="D305" s="17" t="s">
        <v>104</v>
      </c>
      <c r="E305" s="16" t="str">
        <f aca="false">IFERROR(INDEX(Lists!$B$2:$B$7,MATCH(B305,Lists!$A$2:$A$7,0))&amp;"-"&amp;INDEX(Series!$C$2:$C$30,MATCH(C305,Series!$B$2:$B$30,0))&amp;"-"&amp;INDEX(Part_Categories!$A$2:$A$18,MATCH(D305,Part_Categories!$B$2:$B$18,0))&amp;"-01","CHECK")</f>
        <v>MYC-A-FLT-01</v>
      </c>
      <c r="F305" s="16" t="str">
        <f aca="false">E305&amp;".jpg"</f>
        <v>MYC-A-FLT-01.jpg</v>
      </c>
      <c r="G305" s="18" t="str">
        <f aca="false">IFERROR(INDEX(Series!$F$2:$F$30,MATCH(C305,Series!$B$2:$B$30,0)),"")</f>
        <v>N2A, N4A, N6A, N8A, N42A</v>
      </c>
      <c r="H305" s="19"/>
      <c r="I305" s="19"/>
      <c r="J305" s="19"/>
      <c r="K305" s="19" t="s">
        <v>70</v>
      </c>
      <c r="L305" s="19"/>
      <c r="M305" s="19"/>
      <c r="N305" s="19"/>
      <c r="O305" s="18" t="str">
        <f aca="false">C305&amp;" "&amp;D305&amp;" spare part - Efforts Engineers"</f>
        <v>Mycom A Series Oil Filter and Strainer spare part - Efforts Engineers</v>
      </c>
      <c r="P305" s="16" t="str">
        <f aca="false">IFERROR("/"&amp;LOWER(B305)&amp;"/"&amp;INDEX(Series!$D$2:$D$30,MATCH(C305,Series!$B$2:$B$30,0))&amp;"/"&amp;INDEX(Part_Categories!$C$2:$C$18,MATCH(D305,Part_Categories!$B$2:$B$18,0)),"CHECK")</f>
        <v>/mycom/a-series/oil-filter-and-strainer</v>
      </c>
      <c r="Q305" s="19"/>
    </row>
    <row r="306" customFormat="false" ht="23.85" hidden="false" customHeight="false" outlineLevel="0" collapsed="false">
      <c r="A306" s="16" t="n">
        <f aca="false">ROW()-1</f>
        <v>305</v>
      </c>
      <c r="B306" s="17" t="s">
        <v>78</v>
      </c>
      <c r="C306" s="17" t="s">
        <v>122</v>
      </c>
      <c r="D306" s="17" t="s">
        <v>105</v>
      </c>
      <c r="E306" s="16" t="str">
        <f aca="false">IFERROR(INDEX(Lists!$B$2:$B$7,MATCH(B306,Lists!$A$2:$A$7,0))&amp;"-"&amp;INDEX(Series!$C$2:$C$30,MATCH(C306,Series!$B$2:$B$30,0))&amp;"-"&amp;INDEX(Part_Categories!$A$2:$A$18,MATCH(D306,Part_Categories!$B$2:$B$18,0))&amp;"-01","CHECK")</f>
        <v>MYC-A-ULD-01</v>
      </c>
      <c r="F306" s="16" t="str">
        <f aca="false">E306&amp;".jpg"</f>
        <v>MYC-A-ULD-01.jpg</v>
      </c>
      <c r="G306" s="18" t="str">
        <f aca="false">IFERROR(INDEX(Series!$F$2:$F$30,MATCH(C306,Series!$B$2:$B$30,0)),"")</f>
        <v>N2A, N4A, N6A, N8A, N42A</v>
      </c>
      <c r="H306" s="19"/>
      <c r="I306" s="19"/>
      <c r="J306" s="19"/>
      <c r="K306" s="19" t="s">
        <v>70</v>
      </c>
      <c r="L306" s="19"/>
      <c r="M306" s="19"/>
      <c r="N306" s="19"/>
      <c r="O306" s="18" t="str">
        <f aca="false">C306&amp;" "&amp;D306&amp;" spare part - Efforts Engineers"</f>
        <v>Mycom A Series Unloader and Capacity Control spare part - Efforts Engineers</v>
      </c>
      <c r="P306" s="16" t="str">
        <f aca="false">IFERROR("/"&amp;LOWER(B306)&amp;"/"&amp;INDEX(Series!$D$2:$D$30,MATCH(C306,Series!$B$2:$B$30,0))&amp;"/"&amp;INDEX(Part_Categories!$C$2:$C$18,MATCH(D306,Part_Categories!$B$2:$B$18,0)),"CHECK")</f>
        <v>/mycom/a-series/unloader-and-capacity-control</v>
      </c>
      <c r="Q306" s="19"/>
    </row>
    <row r="307" customFormat="false" ht="23.85" hidden="false" customHeight="false" outlineLevel="0" collapsed="false">
      <c r="A307" s="16" t="n">
        <f aca="false">ROW()-1</f>
        <v>306</v>
      </c>
      <c r="B307" s="17" t="s">
        <v>78</v>
      </c>
      <c r="C307" s="17" t="s">
        <v>122</v>
      </c>
      <c r="D307" s="17" t="s">
        <v>106</v>
      </c>
      <c r="E307" s="16" t="str">
        <f aca="false">IFERROR(INDEX(Lists!$B$2:$B$7,MATCH(B307,Lists!$A$2:$A$7,0))&amp;"-"&amp;INDEX(Series!$C$2:$C$30,MATCH(C307,Series!$B$2:$B$30,0))&amp;"-"&amp;INDEX(Part_Categories!$A$2:$A$18,MATCH(D307,Part_Categories!$B$2:$B$18,0))&amp;"-01","CHECK")</f>
        <v>MYC-A-SAF-01</v>
      </c>
      <c r="F307" s="16" t="str">
        <f aca="false">E307&amp;".jpg"</f>
        <v>MYC-A-SAF-01.jpg</v>
      </c>
      <c r="G307" s="18" t="str">
        <f aca="false">IFERROR(INDEX(Series!$F$2:$F$30,MATCH(C307,Series!$B$2:$B$30,0)),"")</f>
        <v>N2A, N4A, N6A, N8A, N42A</v>
      </c>
      <c r="H307" s="19"/>
      <c r="I307" s="19"/>
      <c r="J307" s="19"/>
      <c r="K307" s="19" t="s">
        <v>70</v>
      </c>
      <c r="L307" s="19"/>
      <c r="M307" s="19"/>
      <c r="N307" s="19"/>
      <c r="O307" s="18" t="str">
        <f aca="false">C307&amp;" "&amp;D307&amp;" spare part - Efforts Engineers"</f>
        <v>Mycom A Series Safety Head and Relief Valve spare part - Efforts Engineers</v>
      </c>
      <c r="P307" s="16" t="str">
        <f aca="false">IFERROR("/"&amp;LOWER(B307)&amp;"/"&amp;INDEX(Series!$D$2:$D$30,MATCH(C307,Series!$B$2:$B$30,0))&amp;"/"&amp;INDEX(Part_Categories!$C$2:$C$18,MATCH(D307,Part_Categories!$B$2:$B$18,0)),"CHECK")</f>
        <v>/mycom/a-series/safety-head-and-relief-valve</v>
      </c>
      <c r="Q307" s="19"/>
    </row>
    <row r="308" customFormat="false" ht="23.85" hidden="false" customHeight="false" outlineLevel="0" collapsed="false">
      <c r="A308" s="16" t="n">
        <f aca="false">ROW()-1</f>
        <v>307</v>
      </c>
      <c r="B308" s="17" t="s">
        <v>78</v>
      </c>
      <c r="C308" s="17" t="s">
        <v>123</v>
      </c>
      <c r="D308" s="17" t="s">
        <v>58</v>
      </c>
      <c r="E308" s="16" t="str">
        <f aca="false">IFERROR(INDEX(Lists!$B$2:$B$7,MATCH(B308,Lists!$A$2:$A$7,0))&amp;"-"&amp;INDEX(Series!$C$2:$C$30,MATCH(C308,Series!$B$2:$B$30,0))&amp;"-"&amp;INDEX(Part_Categories!$A$2:$A$18,MATCH(D308,Part_Categories!$B$2:$B$18,0))&amp;"-01","CHECK")</f>
        <v>MYC-B-CLN-01</v>
      </c>
      <c r="F308" s="16" t="str">
        <f aca="false">E308&amp;".jpg"</f>
        <v>MYC-B-CLN-01.jpg</v>
      </c>
      <c r="G308" s="18" t="str">
        <f aca="false">IFERROR(INDEX(Series!$F$2:$F$30,MATCH(C308,Series!$B$2:$B$30,0)),"")</f>
        <v>N4B, N6B, N12B, N8B</v>
      </c>
      <c r="H308" s="19"/>
      <c r="I308" s="19"/>
      <c r="J308" s="19"/>
      <c r="K308" s="19" t="s">
        <v>70</v>
      </c>
      <c r="L308" s="19"/>
      <c r="M308" s="19"/>
      <c r="N308" s="19"/>
      <c r="O308" s="18" t="str">
        <f aca="false">C308&amp;" "&amp;D308&amp;" spare part - Efforts Engineers"</f>
        <v>Mycom B Series Cylinder Liner spare part - Efforts Engineers</v>
      </c>
      <c r="P308" s="16" t="str">
        <f aca="false">IFERROR("/"&amp;LOWER(B308)&amp;"/"&amp;INDEX(Series!$D$2:$D$30,MATCH(C308,Series!$B$2:$B$30,0))&amp;"/"&amp;INDEX(Part_Categories!$C$2:$C$18,MATCH(D308,Part_Categories!$B$2:$B$18,0)),"CHECK")</f>
        <v>/mycom/b-series/cylinder-liner</v>
      </c>
      <c r="Q308" s="19"/>
    </row>
    <row r="309" customFormat="false" ht="23.85" hidden="false" customHeight="false" outlineLevel="0" collapsed="false">
      <c r="A309" s="16" t="n">
        <f aca="false">ROW()-1</f>
        <v>308</v>
      </c>
      <c r="B309" s="17" t="s">
        <v>78</v>
      </c>
      <c r="C309" s="17" t="s">
        <v>123</v>
      </c>
      <c r="D309" s="17" t="s">
        <v>91</v>
      </c>
      <c r="E309" s="16" t="str">
        <f aca="false">IFERROR(INDEX(Lists!$B$2:$B$7,MATCH(B309,Lists!$A$2:$A$7,0))&amp;"-"&amp;INDEX(Series!$C$2:$C$30,MATCH(C309,Series!$B$2:$B$30,0))&amp;"-"&amp;INDEX(Part_Categories!$A$2:$A$18,MATCH(D309,Part_Categories!$B$2:$B$18,0))&amp;"-01","CHECK")</f>
        <v>MYC-B-PST-01</v>
      </c>
      <c r="F309" s="16" t="str">
        <f aca="false">E309&amp;".jpg"</f>
        <v>MYC-B-PST-01.jpg</v>
      </c>
      <c r="G309" s="18" t="str">
        <f aca="false">IFERROR(INDEX(Series!$F$2:$F$30,MATCH(C309,Series!$B$2:$B$30,0)),"")</f>
        <v>N4B, N6B, N12B, N8B</v>
      </c>
      <c r="H309" s="19"/>
      <c r="I309" s="19"/>
      <c r="J309" s="19"/>
      <c r="K309" s="19" t="s">
        <v>70</v>
      </c>
      <c r="L309" s="19"/>
      <c r="M309" s="19"/>
      <c r="N309" s="19"/>
      <c r="O309" s="18" t="str">
        <f aca="false">C309&amp;" "&amp;D309&amp;" spare part - Efforts Engineers"</f>
        <v>Mycom B Series Piston Assembly spare part - Efforts Engineers</v>
      </c>
      <c r="P309" s="16" t="str">
        <f aca="false">IFERROR("/"&amp;LOWER(B309)&amp;"/"&amp;INDEX(Series!$D$2:$D$30,MATCH(C309,Series!$B$2:$B$30,0))&amp;"/"&amp;INDEX(Part_Categories!$C$2:$C$18,MATCH(D309,Part_Categories!$B$2:$B$18,0)),"CHECK")</f>
        <v>/mycom/b-series/piston-assembly</v>
      </c>
      <c r="Q309" s="19"/>
    </row>
    <row r="310" customFormat="false" ht="23.85" hidden="false" customHeight="false" outlineLevel="0" collapsed="false">
      <c r="A310" s="16" t="n">
        <f aca="false">ROW()-1</f>
        <v>309</v>
      </c>
      <c r="B310" s="17" t="s">
        <v>78</v>
      </c>
      <c r="C310" s="17" t="s">
        <v>123</v>
      </c>
      <c r="D310" s="17" t="s">
        <v>92</v>
      </c>
      <c r="E310" s="16" t="str">
        <f aca="false">IFERROR(INDEX(Lists!$B$2:$B$7,MATCH(B310,Lists!$A$2:$A$7,0))&amp;"-"&amp;INDEX(Series!$C$2:$C$30,MATCH(C310,Series!$B$2:$B$30,0))&amp;"-"&amp;INDEX(Part_Categories!$A$2:$A$18,MATCH(D310,Part_Categories!$B$2:$B$18,0))&amp;"-01","CHECK")</f>
        <v>MYC-B-PRG-01</v>
      </c>
      <c r="F310" s="16" t="str">
        <f aca="false">E310&amp;".jpg"</f>
        <v>MYC-B-PRG-01.jpg</v>
      </c>
      <c r="G310" s="18" t="str">
        <f aca="false">IFERROR(INDEX(Series!$F$2:$F$30,MATCH(C310,Series!$B$2:$B$30,0)),"")</f>
        <v>N4B, N6B, N12B, N8B</v>
      </c>
      <c r="H310" s="19"/>
      <c r="I310" s="19"/>
      <c r="J310" s="19"/>
      <c r="K310" s="19" t="s">
        <v>70</v>
      </c>
      <c r="L310" s="19"/>
      <c r="M310" s="19"/>
      <c r="N310" s="19"/>
      <c r="O310" s="18" t="str">
        <f aca="false">C310&amp;" "&amp;D310&amp;" spare part - Efforts Engineers"</f>
        <v>Mycom B Series Piston Ring Set spare part - Efforts Engineers</v>
      </c>
      <c r="P310" s="16" t="str">
        <f aca="false">IFERROR("/"&amp;LOWER(B310)&amp;"/"&amp;INDEX(Series!$D$2:$D$30,MATCH(C310,Series!$B$2:$B$30,0))&amp;"/"&amp;INDEX(Part_Categories!$C$2:$C$18,MATCH(D310,Part_Categories!$B$2:$B$18,0)),"CHECK")</f>
        <v>/mycom/b-series/piston-ring-set</v>
      </c>
      <c r="Q310" s="19"/>
    </row>
    <row r="311" customFormat="false" ht="23.85" hidden="false" customHeight="false" outlineLevel="0" collapsed="false">
      <c r="A311" s="16" t="n">
        <f aca="false">ROW()-1</f>
        <v>310</v>
      </c>
      <c r="B311" s="17" t="s">
        <v>78</v>
      </c>
      <c r="C311" s="17" t="s">
        <v>123</v>
      </c>
      <c r="D311" s="17" t="s">
        <v>93</v>
      </c>
      <c r="E311" s="16" t="str">
        <f aca="false">IFERROR(INDEX(Lists!$B$2:$B$7,MATCH(B311,Lists!$A$2:$A$7,0))&amp;"-"&amp;INDEX(Series!$C$2:$C$30,MATCH(C311,Series!$B$2:$B$30,0))&amp;"-"&amp;INDEX(Part_Categories!$A$2:$A$18,MATCH(D311,Part_Categories!$B$2:$B$18,0))&amp;"-01","CHECK")</f>
        <v>MYC-B-CRD-01</v>
      </c>
      <c r="F311" s="16" t="str">
        <f aca="false">E311&amp;".jpg"</f>
        <v>MYC-B-CRD-01.jpg</v>
      </c>
      <c r="G311" s="18" t="str">
        <f aca="false">IFERROR(INDEX(Series!$F$2:$F$30,MATCH(C311,Series!$B$2:$B$30,0)),"")</f>
        <v>N4B, N6B, N12B, N8B</v>
      </c>
      <c r="H311" s="19"/>
      <c r="I311" s="19"/>
      <c r="J311" s="19"/>
      <c r="K311" s="19" t="s">
        <v>70</v>
      </c>
      <c r="L311" s="19"/>
      <c r="M311" s="19"/>
      <c r="N311" s="19"/>
      <c r="O311" s="18" t="str">
        <f aca="false">C311&amp;" "&amp;D311&amp;" spare part - Efforts Engineers"</f>
        <v>Mycom B Series Connecting Rod spare part - Efforts Engineers</v>
      </c>
      <c r="P311" s="16" t="str">
        <f aca="false">IFERROR("/"&amp;LOWER(B311)&amp;"/"&amp;INDEX(Series!$D$2:$D$30,MATCH(C311,Series!$B$2:$B$30,0))&amp;"/"&amp;INDEX(Part_Categories!$C$2:$C$18,MATCH(D311,Part_Categories!$B$2:$B$18,0)),"CHECK")</f>
        <v>/mycom/b-series/connecting-rod</v>
      </c>
      <c r="Q311" s="19"/>
    </row>
    <row r="312" customFormat="false" ht="23.85" hidden="false" customHeight="false" outlineLevel="0" collapsed="false">
      <c r="A312" s="16" t="n">
        <f aca="false">ROW()-1</f>
        <v>311</v>
      </c>
      <c r="B312" s="17" t="s">
        <v>78</v>
      </c>
      <c r="C312" s="17" t="s">
        <v>123</v>
      </c>
      <c r="D312" s="17" t="s">
        <v>94</v>
      </c>
      <c r="E312" s="16" t="str">
        <f aca="false">IFERROR(INDEX(Lists!$B$2:$B$7,MATCH(B312,Lists!$A$2:$A$7,0))&amp;"-"&amp;INDEX(Series!$C$2:$C$30,MATCH(C312,Series!$B$2:$B$30,0))&amp;"-"&amp;INDEX(Part_Categories!$A$2:$A$18,MATCH(D312,Part_Categories!$B$2:$B$18,0))&amp;"-01","CHECK")</f>
        <v>MYC-B-CRK-01</v>
      </c>
      <c r="F312" s="16" t="str">
        <f aca="false">E312&amp;".jpg"</f>
        <v>MYC-B-CRK-01.jpg</v>
      </c>
      <c r="G312" s="18" t="str">
        <f aca="false">IFERROR(INDEX(Series!$F$2:$F$30,MATCH(C312,Series!$B$2:$B$30,0)),"")</f>
        <v>N4B, N6B, N12B, N8B</v>
      </c>
      <c r="H312" s="19"/>
      <c r="I312" s="19"/>
      <c r="J312" s="19"/>
      <c r="K312" s="19" t="s">
        <v>70</v>
      </c>
      <c r="L312" s="19"/>
      <c r="M312" s="19"/>
      <c r="N312" s="19"/>
      <c r="O312" s="18" t="str">
        <f aca="false">C312&amp;" "&amp;D312&amp;" spare part - Efforts Engineers"</f>
        <v>Mycom B Series Crankshaft spare part - Efforts Engineers</v>
      </c>
      <c r="P312" s="16" t="str">
        <f aca="false">IFERROR("/"&amp;LOWER(B312)&amp;"/"&amp;INDEX(Series!$D$2:$D$30,MATCH(C312,Series!$B$2:$B$30,0))&amp;"/"&amp;INDEX(Part_Categories!$C$2:$C$18,MATCH(D312,Part_Categories!$B$2:$B$18,0)),"CHECK")</f>
        <v>/mycom/b-series/crankshaft</v>
      </c>
      <c r="Q312" s="19"/>
    </row>
    <row r="313" customFormat="false" ht="23.85" hidden="false" customHeight="false" outlineLevel="0" collapsed="false">
      <c r="A313" s="16" t="n">
        <f aca="false">ROW()-1</f>
        <v>312</v>
      </c>
      <c r="B313" s="17" t="s">
        <v>78</v>
      </c>
      <c r="C313" s="17" t="s">
        <v>123</v>
      </c>
      <c r="D313" s="17" t="s">
        <v>95</v>
      </c>
      <c r="E313" s="16" t="str">
        <f aca="false">IFERROR(INDEX(Lists!$B$2:$B$7,MATCH(B313,Lists!$A$2:$A$7,0))&amp;"-"&amp;INDEX(Series!$C$2:$C$30,MATCH(C313,Series!$B$2:$B$30,0))&amp;"-"&amp;INDEX(Part_Categories!$A$2:$A$18,MATCH(D313,Part_Categories!$B$2:$B$18,0))&amp;"-01","CHECK")</f>
        <v>MYC-B-PIN-01</v>
      </c>
      <c r="F313" s="16" t="str">
        <f aca="false">E313&amp;".jpg"</f>
        <v>MYC-B-PIN-01.jpg</v>
      </c>
      <c r="G313" s="18" t="str">
        <f aca="false">IFERROR(INDEX(Series!$F$2:$F$30,MATCH(C313,Series!$B$2:$B$30,0)),"")</f>
        <v>N4B, N6B, N12B, N8B</v>
      </c>
      <c r="H313" s="19"/>
      <c r="I313" s="19"/>
      <c r="J313" s="19"/>
      <c r="K313" s="19" t="s">
        <v>70</v>
      </c>
      <c r="L313" s="19"/>
      <c r="M313" s="19"/>
      <c r="N313" s="19"/>
      <c r="O313" s="18" t="str">
        <f aca="false">C313&amp;" "&amp;D313&amp;" spare part - Efforts Engineers"</f>
        <v>Mycom B Series Gudgeon Pin and Bush spare part - Efforts Engineers</v>
      </c>
      <c r="P313" s="16" t="str">
        <f aca="false">IFERROR("/"&amp;LOWER(B313)&amp;"/"&amp;INDEX(Series!$D$2:$D$30,MATCH(C313,Series!$B$2:$B$30,0))&amp;"/"&amp;INDEX(Part_Categories!$C$2:$C$18,MATCH(D313,Part_Categories!$B$2:$B$18,0)),"CHECK")</f>
        <v>/mycom/b-series/gudgeon-pin-and-bush</v>
      </c>
      <c r="Q313" s="19"/>
    </row>
    <row r="314" customFormat="false" ht="23.85" hidden="false" customHeight="false" outlineLevel="0" collapsed="false">
      <c r="A314" s="16" t="n">
        <f aca="false">ROW()-1</f>
        <v>313</v>
      </c>
      <c r="B314" s="17" t="s">
        <v>78</v>
      </c>
      <c r="C314" s="17" t="s">
        <v>123</v>
      </c>
      <c r="D314" s="17" t="s">
        <v>96</v>
      </c>
      <c r="E314" s="16" t="str">
        <f aca="false">IFERROR(INDEX(Lists!$B$2:$B$7,MATCH(B314,Lists!$A$2:$A$7,0))&amp;"-"&amp;INDEX(Series!$C$2:$C$30,MATCH(C314,Series!$B$2:$B$30,0))&amp;"-"&amp;INDEX(Part_Categories!$A$2:$A$18,MATCH(D314,Part_Categories!$B$2:$B$18,0))&amp;"-01","CHECK")</f>
        <v>MYC-B-BRG-01</v>
      </c>
      <c r="F314" s="16" t="str">
        <f aca="false">E314&amp;".jpg"</f>
        <v>MYC-B-BRG-01.jpg</v>
      </c>
      <c r="G314" s="18" t="str">
        <f aca="false">IFERROR(INDEX(Series!$F$2:$F$30,MATCH(C314,Series!$B$2:$B$30,0)),"")</f>
        <v>N4B, N6B, N12B, N8B</v>
      </c>
      <c r="H314" s="19"/>
      <c r="I314" s="19"/>
      <c r="J314" s="19"/>
      <c r="K314" s="19" t="s">
        <v>70</v>
      </c>
      <c r="L314" s="19"/>
      <c r="M314" s="19"/>
      <c r="N314" s="19"/>
      <c r="O314" s="18" t="str">
        <f aca="false">C314&amp;" "&amp;D314&amp;" spare part - Efforts Engineers"</f>
        <v>Mycom B Series Main Bearing and Bush spare part - Efforts Engineers</v>
      </c>
      <c r="P314" s="16" t="str">
        <f aca="false">IFERROR("/"&amp;LOWER(B314)&amp;"/"&amp;INDEX(Series!$D$2:$D$30,MATCH(C314,Series!$B$2:$B$30,0))&amp;"/"&amp;INDEX(Part_Categories!$C$2:$C$18,MATCH(D314,Part_Categories!$B$2:$B$18,0)),"CHECK")</f>
        <v>/mycom/b-series/main-bearing-and-bush</v>
      </c>
      <c r="Q314" s="19"/>
    </row>
    <row r="315" customFormat="false" ht="23.85" hidden="false" customHeight="false" outlineLevel="0" collapsed="false">
      <c r="A315" s="16" t="n">
        <f aca="false">ROW()-1</f>
        <v>314</v>
      </c>
      <c r="B315" s="17" t="s">
        <v>78</v>
      </c>
      <c r="C315" s="17" t="s">
        <v>123</v>
      </c>
      <c r="D315" s="17" t="s">
        <v>97</v>
      </c>
      <c r="E315" s="16" t="str">
        <f aca="false">IFERROR(INDEX(Lists!$B$2:$B$7,MATCH(B315,Lists!$A$2:$A$7,0))&amp;"-"&amp;INDEX(Series!$C$2:$C$30,MATCH(C315,Series!$B$2:$B$30,0))&amp;"-"&amp;INDEX(Part_Categories!$A$2:$A$18,MATCH(D315,Part_Categories!$B$2:$B$18,0))&amp;"-01","CHECK")</f>
        <v>MYC-B-SVP-01</v>
      </c>
      <c r="F315" s="16" t="str">
        <f aca="false">E315&amp;".jpg"</f>
        <v>MYC-B-SVP-01.jpg</v>
      </c>
      <c r="G315" s="18" t="str">
        <f aca="false">IFERROR(INDEX(Series!$F$2:$F$30,MATCH(C315,Series!$B$2:$B$30,0)),"")</f>
        <v>N4B, N6B, N12B, N8B</v>
      </c>
      <c r="H315" s="19"/>
      <c r="I315" s="19"/>
      <c r="J315" s="19"/>
      <c r="K315" s="19" t="s">
        <v>70</v>
      </c>
      <c r="L315" s="19"/>
      <c r="M315" s="19"/>
      <c r="N315" s="19"/>
      <c r="O315" s="18" t="str">
        <f aca="false">C315&amp;" "&amp;D315&amp;" spare part - Efforts Engineers"</f>
        <v>Mycom B Series Suction Valve Plate spare part - Efforts Engineers</v>
      </c>
      <c r="P315" s="16" t="str">
        <f aca="false">IFERROR("/"&amp;LOWER(B315)&amp;"/"&amp;INDEX(Series!$D$2:$D$30,MATCH(C315,Series!$B$2:$B$30,0))&amp;"/"&amp;INDEX(Part_Categories!$C$2:$C$18,MATCH(D315,Part_Categories!$B$2:$B$18,0)),"CHECK")</f>
        <v>/mycom/b-series/suction-valve-plate</v>
      </c>
      <c r="Q315" s="19"/>
    </row>
    <row r="316" customFormat="false" ht="23.85" hidden="false" customHeight="false" outlineLevel="0" collapsed="false">
      <c r="A316" s="16" t="n">
        <f aca="false">ROW()-1</f>
        <v>315</v>
      </c>
      <c r="B316" s="17" t="s">
        <v>78</v>
      </c>
      <c r="C316" s="17" t="s">
        <v>123</v>
      </c>
      <c r="D316" s="17" t="s">
        <v>98</v>
      </c>
      <c r="E316" s="16" t="str">
        <f aca="false">IFERROR(INDEX(Lists!$B$2:$B$7,MATCH(B316,Lists!$A$2:$A$7,0))&amp;"-"&amp;INDEX(Series!$C$2:$C$30,MATCH(C316,Series!$B$2:$B$30,0))&amp;"-"&amp;INDEX(Part_Categories!$A$2:$A$18,MATCH(D316,Part_Categories!$B$2:$B$18,0))&amp;"-01","CHECK")</f>
        <v>MYC-B-DVA-01</v>
      </c>
      <c r="F316" s="16" t="str">
        <f aca="false">E316&amp;".jpg"</f>
        <v>MYC-B-DVA-01.jpg</v>
      </c>
      <c r="G316" s="18" t="str">
        <f aca="false">IFERROR(INDEX(Series!$F$2:$F$30,MATCH(C316,Series!$B$2:$B$30,0)),"")</f>
        <v>N4B, N6B, N12B, N8B</v>
      </c>
      <c r="H316" s="19"/>
      <c r="I316" s="19"/>
      <c r="J316" s="19"/>
      <c r="K316" s="19" t="s">
        <v>70</v>
      </c>
      <c r="L316" s="19"/>
      <c r="M316" s="19"/>
      <c r="N316" s="19"/>
      <c r="O316" s="18" t="str">
        <f aca="false">C316&amp;" "&amp;D316&amp;" spare part - Efforts Engineers"</f>
        <v>Mycom B Series Discharge Valve Assembly spare part - Efforts Engineers</v>
      </c>
      <c r="P316" s="16" t="str">
        <f aca="false">IFERROR("/"&amp;LOWER(B316)&amp;"/"&amp;INDEX(Series!$D$2:$D$30,MATCH(C316,Series!$B$2:$B$30,0))&amp;"/"&amp;INDEX(Part_Categories!$C$2:$C$18,MATCH(D316,Part_Categories!$B$2:$B$18,0)),"CHECK")</f>
        <v>/mycom/b-series/discharge-valve-assembly</v>
      </c>
      <c r="Q316" s="19"/>
    </row>
    <row r="317" customFormat="false" ht="23.85" hidden="false" customHeight="false" outlineLevel="0" collapsed="false">
      <c r="A317" s="16" t="n">
        <f aca="false">ROW()-1</f>
        <v>316</v>
      </c>
      <c r="B317" s="17" t="s">
        <v>78</v>
      </c>
      <c r="C317" s="17" t="s">
        <v>123</v>
      </c>
      <c r="D317" s="17" t="s">
        <v>99</v>
      </c>
      <c r="E317" s="16" t="str">
        <f aca="false">IFERROR(INDEX(Lists!$B$2:$B$7,MATCH(B317,Lists!$A$2:$A$7,0))&amp;"-"&amp;INDEX(Series!$C$2:$C$30,MATCH(C317,Series!$B$2:$B$30,0))&amp;"-"&amp;INDEX(Part_Categories!$A$2:$A$18,MATCH(D317,Part_Categories!$B$2:$B$18,0))&amp;"-01","CHECK")</f>
        <v>MYC-B-VSP-01</v>
      </c>
      <c r="F317" s="16" t="str">
        <f aca="false">E317&amp;".jpg"</f>
        <v>MYC-B-VSP-01.jpg</v>
      </c>
      <c r="G317" s="18" t="str">
        <f aca="false">IFERROR(INDEX(Series!$F$2:$F$30,MATCH(C317,Series!$B$2:$B$30,0)),"")</f>
        <v>N4B, N6B, N12B, N8B</v>
      </c>
      <c r="H317" s="19"/>
      <c r="I317" s="19"/>
      <c r="J317" s="19"/>
      <c r="K317" s="19" t="s">
        <v>70</v>
      </c>
      <c r="L317" s="19"/>
      <c r="M317" s="19"/>
      <c r="N317" s="19"/>
      <c r="O317" s="18" t="str">
        <f aca="false">C317&amp;" "&amp;D317&amp;" spare part - Efforts Engineers"</f>
        <v>Mycom B Series Valve Spring and Cage spare part - Efforts Engineers</v>
      </c>
      <c r="P317" s="16" t="str">
        <f aca="false">IFERROR("/"&amp;LOWER(B317)&amp;"/"&amp;INDEX(Series!$D$2:$D$30,MATCH(C317,Series!$B$2:$B$30,0))&amp;"/"&amp;INDEX(Part_Categories!$C$2:$C$18,MATCH(D317,Part_Categories!$B$2:$B$18,0)),"CHECK")</f>
        <v>/mycom/b-series/valve-spring-and-cage</v>
      </c>
      <c r="Q317" s="19"/>
    </row>
    <row r="318" customFormat="false" ht="23.85" hidden="false" customHeight="false" outlineLevel="0" collapsed="false">
      <c r="A318" s="16" t="n">
        <f aca="false">ROW()-1</f>
        <v>317</v>
      </c>
      <c r="B318" s="17" t="s">
        <v>78</v>
      </c>
      <c r="C318" s="17" t="s">
        <v>123</v>
      </c>
      <c r="D318" s="17" t="s">
        <v>100</v>
      </c>
      <c r="E318" s="16" t="str">
        <f aca="false">IFERROR(INDEX(Lists!$B$2:$B$7,MATCH(B318,Lists!$A$2:$A$7,0))&amp;"-"&amp;INDEX(Series!$C$2:$C$30,MATCH(C318,Series!$B$2:$B$30,0))&amp;"-"&amp;INDEX(Part_Categories!$A$2:$A$18,MATCH(D318,Part_Categories!$B$2:$B$18,0))&amp;"-01","CHECK")</f>
        <v>MYC-B-HDC-01</v>
      </c>
      <c r="F318" s="16" t="str">
        <f aca="false">E318&amp;".jpg"</f>
        <v>MYC-B-HDC-01.jpg</v>
      </c>
      <c r="G318" s="18" t="str">
        <f aca="false">IFERROR(INDEX(Series!$F$2:$F$30,MATCH(C318,Series!$B$2:$B$30,0)),"")</f>
        <v>N4B, N6B, N12B, N8B</v>
      </c>
      <c r="H318" s="19"/>
      <c r="I318" s="19"/>
      <c r="J318" s="19"/>
      <c r="K318" s="19" t="s">
        <v>70</v>
      </c>
      <c r="L318" s="19"/>
      <c r="M318" s="19"/>
      <c r="N318" s="19"/>
      <c r="O318" s="18" t="str">
        <f aca="false">C318&amp;" "&amp;D318&amp;" spare part - Efforts Engineers"</f>
        <v>Mycom B Series Cylinder Head Cover spare part - Efforts Engineers</v>
      </c>
      <c r="P318" s="16" t="str">
        <f aca="false">IFERROR("/"&amp;LOWER(B318)&amp;"/"&amp;INDEX(Series!$D$2:$D$30,MATCH(C318,Series!$B$2:$B$30,0))&amp;"/"&amp;INDEX(Part_Categories!$C$2:$C$18,MATCH(D318,Part_Categories!$B$2:$B$18,0)),"CHECK")</f>
        <v>/mycom/b-series/cylinder-head-cover</v>
      </c>
      <c r="Q318" s="19"/>
    </row>
    <row r="319" customFormat="false" ht="23.85" hidden="false" customHeight="false" outlineLevel="0" collapsed="false">
      <c r="A319" s="16" t="n">
        <f aca="false">ROW()-1</f>
        <v>318</v>
      </c>
      <c r="B319" s="17" t="s">
        <v>78</v>
      </c>
      <c r="C319" s="17" t="s">
        <v>123</v>
      </c>
      <c r="D319" s="17" t="s">
        <v>101</v>
      </c>
      <c r="E319" s="16" t="str">
        <f aca="false">IFERROR(INDEX(Lists!$B$2:$B$7,MATCH(B319,Lists!$A$2:$A$7,0))&amp;"-"&amp;INDEX(Series!$C$2:$C$30,MATCH(C319,Series!$B$2:$B$30,0))&amp;"-"&amp;INDEX(Part_Categories!$A$2:$A$18,MATCH(D319,Part_Categories!$B$2:$B$18,0))&amp;"-01","CHECK")</f>
        <v>MYC-B-GSK-01</v>
      </c>
      <c r="F319" s="16" t="str">
        <f aca="false">E319&amp;".jpg"</f>
        <v>MYC-B-GSK-01.jpg</v>
      </c>
      <c r="G319" s="18" t="str">
        <f aca="false">IFERROR(INDEX(Series!$F$2:$F$30,MATCH(C319,Series!$B$2:$B$30,0)),"")</f>
        <v>N4B, N6B, N12B, N8B</v>
      </c>
      <c r="H319" s="19"/>
      <c r="I319" s="19"/>
      <c r="J319" s="19"/>
      <c r="K319" s="19" t="s">
        <v>70</v>
      </c>
      <c r="L319" s="19"/>
      <c r="M319" s="19"/>
      <c r="N319" s="19"/>
      <c r="O319" s="18" t="str">
        <f aca="false">C319&amp;" "&amp;D319&amp;" spare part - Efforts Engineers"</f>
        <v>Mycom B Series Gasket and Overhaul Kit spare part - Efforts Engineers</v>
      </c>
      <c r="P319" s="16" t="str">
        <f aca="false">IFERROR("/"&amp;LOWER(B319)&amp;"/"&amp;INDEX(Series!$D$2:$D$30,MATCH(C319,Series!$B$2:$B$30,0))&amp;"/"&amp;INDEX(Part_Categories!$C$2:$C$18,MATCH(D319,Part_Categories!$B$2:$B$18,0)),"CHECK")</f>
        <v>/mycom/b-series/gasket-and-overhaul-kit</v>
      </c>
      <c r="Q319" s="19"/>
    </row>
    <row r="320" customFormat="false" ht="23.85" hidden="false" customHeight="false" outlineLevel="0" collapsed="false">
      <c r="A320" s="16" t="n">
        <f aca="false">ROW()-1</f>
        <v>319</v>
      </c>
      <c r="B320" s="17" t="s">
        <v>78</v>
      </c>
      <c r="C320" s="17" t="s">
        <v>123</v>
      </c>
      <c r="D320" s="17" t="s">
        <v>102</v>
      </c>
      <c r="E320" s="16" t="str">
        <f aca="false">IFERROR(INDEX(Lists!$B$2:$B$7,MATCH(B320,Lists!$A$2:$A$7,0))&amp;"-"&amp;INDEX(Series!$C$2:$C$30,MATCH(C320,Series!$B$2:$B$30,0))&amp;"-"&amp;INDEX(Part_Categories!$A$2:$A$18,MATCH(D320,Part_Categories!$B$2:$B$18,0))&amp;"-01","CHECK")</f>
        <v>MYC-B-OPA-01</v>
      </c>
      <c r="F320" s="16" t="str">
        <f aca="false">E320&amp;".jpg"</f>
        <v>MYC-B-OPA-01.jpg</v>
      </c>
      <c r="G320" s="18" t="str">
        <f aca="false">IFERROR(INDEX(Series!$F$2:$F$30,MATCH(C320,Series!$B$2:$B$30,0)),"")</f>
        <v>N4B, N6B, N12B, N8B</v>
      </c>
      <c r="H320" s="19"/>
      <c r="I320" s="19"/>
      <c r="J320" s="19"/>
      <c r="K320" s="19" t="s">
        <v>70</v>
      </c>
      <c r="L320" s="19"/>
      <c r="M320" s="19"/>
      <c r="N320" s="19"/>
      <c r="O320" s="18" t="str">
        <f aca="false">C320&amp;" "&amp;D320&amp;" spare part - Efforts Engineers"</f>
        <v>Mycom B Series Oil Pump Assembly spare part - Efforts Engineers</v>
      </c>
      <c r="P320" s="16" t="str">
        <f aca="false">IFERROR("/"&amp;LOWER(B320)&amp;"/"&amp;INDEX(Series!$D$2:$D$30,MATCH(C320,Series!$B$2:$B$30,0))&amp;"/"&amp;INDEX(Part_Categories!$C$2:$C$18,MATCH(D320,Part_Categories!$B$2:$B$18,0)),"CHECK")</f>
        <v>/mycom/b-series/oil-pump-assembly</v>
      </c>
      <c r="Q320" s="19"/>
    </row>
    <row r="321" customFormat="false" ht="23.85" hidden="false" customHeight="false" outlineLevel="0" collapsed="false">
      <c r="A321" s="16" t="n">
        <f aca="false">ROW()-1</f>
        <v>320</v>
      </c>
      <c r="B321" s="17" t="s">
        <v>78</v>
      </c>
      <c r="C321" s="17" t="s">
        <v>123</v>
      </c>
      <c r="D321" s="17" t="s">
        <v>103</v>
      </c>
      <c r="E321" s="16" t="str">
        <f aca="false">IFERROR(INDEX(Lists!$B$2:$B$7,MATCH(B321,Lists!$A$2:$A$7,0))&amp;"-"&amp;INDEX(Series!$C$2:$C$30,MATCH(C321,Series!$B$2:$B$30,0))&amp;"-"&amp;INDEX(Part_Categories!$A$2:$A$18,MATCH(D321,Part_Categories!$B$2:$B$18,0))&amp;"-01","CHECK")</f>
        <v>MYC-B-SHS-01</v>
      </c>
      <c r="F321" s="16" t="str">
        <f aca="false">E321&amp;".jpg"</f>
        <v>MYC-B-SHS-01.jpg</v>
      </c>
      <c r="G321" s="18" t="str">
        <f aca="false">IFERROR(INDEX(Series!$F$2:$F$30,MATCH(C321,Series!$B$2:$B$30,0)),"")</f>
        <v>N4B, N6B, N12B, N8B</v>
      </c>
      <c r="H321" s="19"/>
      <c r="I321" s="19"/>
      <c r="J321" s="19"/>
      <c r="K321" s="19" t="s">
        <v>70</v>
      </c>
      <c r="L321" s="19"/>
      <c r="M321" s="19"/>
      <c r="N321" s="19"/>
      <c r="O321" s="18" t="str">
        <f aca="false">C321&amp;" "&amp;D321&amp;" spare part - Efforts Engineers"</f>
        <v>Mycom B Series Shaft Seal spare part - Efforts Engineers</v>
      </c>
      <c r="P321" s="16" t="str">
        <f aca="false">IFERROR("/"&amp;LOWER(B321)&amp;"/"&amp;INDEX(Series!$D$2:$D$30,MATCH(C321,Series!$B$2:$B$30,0))&amp;"/"&amp;INDEX(Part_Categories!$C$2:$C$18,MATCH(D321,Part_Categories!$B$2:$B$18,0)),"CHECK")</f>
        <v>/mycom/b-series/shaft-seal</v>
      </c>
      <c r="Q321" s="19"/>
    </row>
    <row r="322" customFormat="false" ht="23.85" hidden="false" customHeight="false" outlineLevel="0" collapsed="false">
      <c r="A322" s="16" t="n">
        <f aca="false">ROW()-1</f>
        <v>321</v>
      </c>
      <c r="B322" s="17" t="s">
        <v>78</v>
      </c>
      <c r="C322" s="17" t="s">
        <v>123</v>
      </c>
      <c r="D322" s="17" t="s">
        <v>104</v>
      </c>
      <c r="E322" s="16" t="str">
        <f aca="false">IFERROR(INDEX(Lists!$B$2:$B$7,MATCH(B322,Lists!$A$2:$A$7,0))&amp;"-"&amp;INDEX(Series!$C$2:$C$30,MATCH(C322,Series!$B$2:$B$30,0))&amp;"-"&amp;INDEX(Part_Categories!$A$2:$A$18,MATCH(D322,Part_Categories!$B$2:$B$18,0))&amp;"-01","CHECK")</f>
        <v>MYC-B-FLT-01</v>
      </c>
      <c r="F322" s="16" t="str">
        <f aca="false">E322&amp;".jpg"</f>
        <v>MYC-B-FLT-01.jpg</v>
      </c>
      <c r="G322" s="18" t="str">
        <f aca="false">IFERROR(INDEX(Series!$F$2:$F$30,MATCH(C322,Series!$B$2:$B$30,0)),"")</f>
        <v>N4B, N6B, N12B, N8B</v>
      </c>
      <c r="H322" s="19"/>
      <c r="I322" s="19"/>
      <c r="J322" s="19"/>
      <c r="K322" s="19" t="s">
        <v>70</v>
      </c>
      <c r="L322" s="19"/>
      <c r="M322" s="19"/>
      <c r="N322" s="19"/>
      <c r="O322" s="18" t="str">
        <f aca="false">C322&amp;" "&amp;D322&amp;" spare part - Efforts Engineers"</f>
        <v>Mycom B Series Oil Filter and Strainer spare part - Efforts Engineers</v>
      </c>
      <c r="P322" s="16" t="str">
        <f aca="false">IFERROR("/"&amp;LOWER(B322)&amp;"/"&amp;INDEX(Series!$D$2:$D$30,MATCH(C322,Series!$B$2:$B$30,0))&amp;"/"&amp;INDEX(Part_Categories!$C$2:$C$18,MATCH(D322,Part_Categories!$B$2:$B$18,0)),"CHECK")</f>
        <v>/mycom/b-series/oil-filter-and-strainer</v>
      </c>
      <c r="Q322" s="19"/>
    </row>
    <row r="323" customFormat="false" ht="23.85" hidden="false" customHeight="false" outlineLevel="0" collapsed="false">
      <c r="A323" s="16" t="n">
        <f aca="false">ROW()-1</f>
        <v>322</v>
      </c>
      <c r="B323" s="17" t="s">
        <v>78</v>
      </c>
      <c r="C323" s="17" t="s">
        <v>123</v>
      </c>
      <c r="D323" s="17" t="s">
        <v>105</v>
      </c>
      <c r="E323" s="16" t="str">
        <f aca="false">IFERROR(INDEX(Lists!$B$2:$B$7,MATCH(B323,Lists!$A$2:$A$7,0))&amp;"-"&amp;INDEX(Series!$C$2:$C$30,MATCH(C323,Series!$B$2:$B$30,0))&amp;"-"&amp;INDEX(Part_Categories!$A$2:$A$18,MATCH(D323,Part_Categories!$B$2:$B$18,0))&amp;"-01","CHECK")</f>
        <v>MYC-B-ULD-01</v>
      </c>
      <c r="F323" s="16" t="str">
        <f aca="false">E323&amp;".jpg"</f>
        <v>MYC-B-ULD-01.jpg</v>
      </c>
      <c r="G323" s="18" t="str">
        <f aca="false">IFERROR(INDEX(Series!$F$2:$F$30,MATCH(C323,Series!$B$2:$B$30,0)),"")</f>
        <v>N4B, N6B, N12B, N8B</v>
      </c>
      <c r="H323" s="19"/>
      <c r="I323" s="19"/>
      <c r="J323" s="19"/>
      <c r="K323" s="19" t="s">
        <v>70</v>
      </c>
      <c r="L323" s="19"/>
      <c r="M323" s="19"/>
      <c r="N323" s="19"/>
      <c r="O323" s="18" t="str">
        <f aca="false">C323&amp;" "&amp;D323&amp;" spare part - Efforts Engineers"</f>
        <v>Mycom B Series Unloader and Capacity Control spare part - Efforts Engineers</v>
      </c>
      <c r="P323" s="16" t="str">
        <f aca="false">IFERROR("/"&amp;LOWER(B323)&amp;"/"&amp;INDEX(Series!$D$2:$D$30,MATCH(C323,Series!$B$2:$B$30,0))&amp;"/"&amp;INDEX(Part_Categories!$C$2:$C$18,MATCH(D323,Part_Categories!$B$2:$B$18,0)),"CHECK")</f>
        <v>/mycom/b-series/unloader-and-capacity-control</v>
      </c>
      <c r="Q323" s="19"/>
    </row>
    <row r="324" customFormat="false" ht="23.85" hidden="false" customHeight="false" outlineLevel="0" collapsed="false">
      <c r="A324" s="16" t="n">
        <f aca="false">ROW()-1</f>
        <v>323</v>
      </c>
      <c r="B324" s="17" t="s">
        <v>78</v>
      </c>
      <c r="C324" s="17" t="s">
        <v>123</v>
      </c>
      <c r="D324" s="17" t="s">
        <v>106</v>
      </c>
      <c r="E324" s="16" t="str">
        <f aca="false">IFERROR(INDEX(Lists!$B$2:$B$7,MATCH(B324,Lists!$A$2:$A$7,0))&amp;"-"&amp;INDEX(Series!$C$2:$C$30,MATCH(C324,Series!$B$2:$B$30,0))&amp;"-"&amp;INDEX(Part_Categories!$A$2:$A$18,MATCH(D324,Part_Categories!$B$2:$B$18,0))&amp;"-01","CHECK")</f>
        <v>MYC-B-SAF-01</v>
      </c>
      <c r="F324" s="16" t="str">
        <f aca="false">E324&amp;".jpg"</f>
        <v>MYC-B-SAF-01.jpg</v>
      </c>
      <c r="G324" s="18" t="str">
        <f aca="false">IFERROR(INDEX(Series!$F$2:$F$30,MATCH(C324,Series!$B$2:$B$30,0)),"")</f>
        <v>N4B, N6B, N12B, N8B</v>
      </c>
      <c r="H324" s="19"/>
      <c r="I324" s="19"/>
      <c r="J324" s="19"/>
      <c r="K324" s="19" t="s">
        <v>70</v>
      </c>
      <c r="L324" s="19"/>
      <c r="M324" s="19"/>
      <c r="N324" s="19"/>
      <c r="O324" s="18" t="str">
        <f aca="false">C324&amp;" "&amp;D324&amp;" spare part - Efforts Engineers"</f>
        <v>Mycom B Series Safety Head and Relief Valve spare part - Efforts Engineers</v>
      </c>
      <c r="P324" s="16" t="str">
        <f aca="false">IFERROR("/"&amp;LOWER(B324)&amp;"/"&amp;INDEX(Series!$D$2:$D$30,MATCH(C324,Series!$B$2:$B$30,0))&amp;"/"&amp;INDEX(Part_Categories!$C$2:$C$18,MATCH(D324,Part_Categories!$B$2:$B$18,0)),"CHECK")</f>
        <v>/mycom/b-series/safety-head-and-relief-valve</v>
      </c>
      <c r="Q324" s="19"/>
    </row>
    <row r="325" customFormat="false" ht="23.85" hidden="false" customHeight="false" outlineLevel="0" collapsed="false">
      <c r="A325" s="16" t="n">
        <f aca="false">ROW()-1</f>
        <v>324</v>
      </c>
      <c r="B325" s="17" t="s">
        <v>78</v>
      </c>
      <c r="C325" s="17" t="s">
        <v>124</v>
      </c>
      <c r="D325" s="17" t="s">
        <v>58</v>
      </c>
      <c r="E325" s="16" t="str">
        <f aca="false">IFERROR(INDEX(Lists!$B$2:$B$7,MATCH(B325,Lists!$A$2:$A$7,0))&amp;"-"&amp;INDEX(Series!$C$2:$C$30,MATCH(C325,Series!$B$2:$B$30,0))&amp;"-"&amp;INDEX(Part_Categories!$A$2:$A$18,MATCH(D325,Part_Categories!$B$2:$B$18,0))&amp;"-01","CHECK")</f>
        <v>MYC-WA-CLN-01</v>
      </c>
      <c r="F325" s="16" t="str">
        <f aca="false">E325&amp;".jpg"</f>
        <v>MYC-WA-CLN-01.jpg</v>
      </c>
      <c r="G325" s="18" t="str">
        <f aca="false">IFERROR(INDEX(Series!$F$2:$F$30,MATCH(C325,Series!$B$2:$B$30,0)),"")</f>
        <v>2WA, 4WA, 6WA, 8WA, 42WA, 62WA</v>
      </c>
      <c r="H325" s="19"/>
      <c r="I325" s="19"/>
      <c r="J325" s="19"/>
      <c r="K325" s="19" t="s">
        <v>70</v>
      </c>
      <c r="L325" s="19"/>
      <c r="M325" s="19"/>
      <c r="N325" s="19"/>
      <c r="O325" s="18" t="str">
        <f aca="false">C325&amp;" "&amp;D325&amp;" spare part - Efforts Engineers"</f>
        <v>Mycom WA Series Cylinder Liner spare part - Efforts Engineers</v>
      </c>
      <c r="P325" s="16" t="str">
        <f aca="false">IFERROR("/"&amp;LOWER(B325)&amp;"/"&amp;INDEX(Series!$D$2:$D$30,MATCH(C325,Series!$B$2:$B$30,0))&amp;"/"&amp;INDEX(Part_Categories!$C$2:$C$18,MATCH(D325,Part_Categories!$B$2:$B$18,0)),"CHECK")</f>
        <v>/mycom/wa-series/cylinder-liner</v>
      </c>
      <c r="Q325" s="19"/>
    </row>
    <row r="326" customFormat="false" ht="23.85" hidden="false" customHeight="false" outlineLevel="0" collapsed="false">
      <c r="A326" s="16" t="n">
        <f aca="false">ROW()-1</f>
        <v>325</v>
      </c>
      <c r="B326" s="17" t="s">
        <v>78</v>
      </c>
      <c r="C326" s="17" t="s">
        <v>124</v>
      </c>
      <c r="D326" s="17" t="s">
        <v>91</v>
      </c>
      <c r="E326" s="16" t="str">
        <f aca="false">IFERROR(INDEX(Lists!$B$2:$B$7,MATCH(B326,Lists!$A$2:$A$7,0))&amp;"-"&amp;INDEX(Series!$C$2:$C$30,MATCH(C326,Series!$B$2:$B$30,0))&amp;"-"&amp;INDEX(Part_Categories!$A$2:$A$18,MATCH(D326,Part_Categories!$B$2:$B$18,0))&amp;"-01","CHECK")</f>
        <v>MYC-WA-PST-01</v>
      </c>
      <c r="F326" s="16" t="str">
        <f aca="false">E326&amp;".jpg"</f>
        <v>MYC-WA-PST-01.jpg</v>
      </c>
      <c r="G326" s="18" t="str">
        <f aca="false">IFERROR(INDEX(Series!$F$2:$F$30,MATCH(C326,Series!$B$2:$B$30,0)),"")</f>
        <v>2WA, 4WA, 6WA, 8WA, 42WA, 62WA</v>
      </c>
      <c r="H326" s="19"/>
      <c r="I326" s="19"/>
      <c r="J326" s="19"/>
      <c r="K326" s="19" t="s">
        <v>70</v>
      </c>
      <c r="L326" s="19"/>
      <c r="M326" s="19"/>
      <c r="N326" s="19"/>
      <c r="O326" s="18" t="str">
        <f aca="false">C326&amp;" "&amp;D326&amp;" spare part - Efforts Engineers"</f>
        <v>Mycom WA Series Piston Assembly spare part - Efforts Engineers</v>
      </c>
      <c r="P326" s="16" t="str">
        <f aca="false">IFERROR("/"&amp;LOWER(B326)&amp;"/"&amp;INDEX(Series!$D$2:$D$30,MATCH(C326,Series!$B$2:$B$30,0))&amp;"/"&amp;INDEX(Part_Categories!$C$2:$C$18,MATCH(D326,Part_Categories!$B$2:$B$18,0)),"CHECK")</f>
        <v>/mycom/wa-series/piston-assembly</v>
      </c>
      <c r="Q326" s="19"/>
    </row>
    <row r="327" customFormat="false" ht="23.85" hidden="false" customHeight="false" outlineLevel="0" collapsed="false">
      <c r="A327" s="16" t="n">
        <f aca="false">ROW()-1</f>
        <v>326</v>
      </c>
      <c r="B327" s="17" t="s">
        <v>78</v>
      </c>
      <c r="C327" s="17" t="s">
        <v>124</v>
      </c>
      <c r="D327" s="17" t="s">
        <v>92</v>
      </c>
      <c r="E327" s="16" t="str">
        <f aca="false">IFERROR(INDEX(Lists!$B$2:$B$7,MATCH(B327,Lists!$A$2:$A$7,0))&amp;"-"&amp;INDEX(Series!$C$2:$C$30,MATCH(C327,Series!$B$2:$B$30,0))&amp;"-"&amp;INDEX(Part_Categories!$A$2:$A$18,MATCH(D327,Part_Categories!$B$2:$B$18,0))&amp;"-01","CHECK")</f>
        <v>MYC-WA-PRG-01</v>
      </c>
      <c r="F327" s="16" t="str">
        <f aca="false">E327&amp;".jpg"</f>
        <v>MYC-WA-PRG-01.jpg</v>
      </c>
      <c r="G327" s="18" t="str">
        <f aca="false">IFERROR(INDEX(Series!$F$2:$F$30,MATCH(C327,Series!$B$2:$B$30,0)),"")</f>
        <v>2WA, 4WA, 6WA, 8WA, 42WA, 62WA</v>
      </c>
      <c r="H327" s="19"/>
      <c r="I327" s="19"/>
      <c r="J327" s="19"/>
      <c r="K327" s="19" t="s">
        <v>70</v>
      </c>
      <c r="L327" s="19"/>
      <c r="M327" s="19"/>
      <c r="N327" s="19"/>
      <c r="O327" s="18" t="str">
        <f aca="false">C327&amp;" "&amp;D327&amp;" spare part - Efforts Engineers"</f>
        <v>Mycom WA Series Piston Ring Set spare part - Efforts Engineers</v>
      </c>
      <c r="P327" s="16" t="str">
        <f aca="false">IFERROR("/"&amp;LOWER(B327)&amp;"/"&amp;INDEX(Series!$D$2:$D$30,MATCH(C327,Series!$B$2:$B$30,0))&amp;"/"&amp;INDEX(Part_Categories!$C$2:$C$18,MATCH(D327,Part_Categories!$B$2:$B$18,0)),"CHECK")</f>
        <v>/mycom/wa-series/piston-ring-set</v>
      </c>
      <c r="Q327" s="19"/>
    </row>
    <row r="328" customFormat="false" ht="23.85" hidden="false" customHeight="false" outlineLevel="0" collapsed="false">
      <c r="A328" s="16" t="n">
        <f aca="false">ROW()-1</f>
        <v>327</v>
      </c>
      <c r="B328" s="17" t="s">
        <v>78</v>
      </c>
      <c r="C328" s="17" t="s">
        <v>124</v>
      </c>
      <c r="D328" s="17" t="s">
        <v>93</v>
      </c>
      <c r="E328" s="16" t="str">
        <f aca="false">IFERROR(INDEX(Lists!$B$2:$B$7,MATCH(B328,Lists!$A$2:$A$7,0))&amp;"-"&amp;INDEX(Series!$C$2:$C$30,MATCH(C328,Series!$B$2:$B$30,0))&amp;"-"&amp;INDEX(Part_Categories!$A$2:$A$18,MATCH(D328,Part_Categories!$B$2:$B$18,0))&amp;"-01","CHECK")</f>
        <v>MYC-WA-CRD-01</v>
      </c>
      <c r="F328" s="16" t="str">
        <f aca="false">E328&amp;".jpg"</f>
        <v>MYC-WA-CRD-01.jpg</v>
      </c>
      <c r="G328" s="18" t="str">
        <f aca="false">IFERROR(INDEX(Series!$F$2:$F$30,MATCH(C328,Series!$B$2:$B$30,0)),"")</f>
        <v>2WA, 4WA, 6WA, 8WA, 42WA, 62WA</v>
      </c>
      <c r="H328" s="19"/>
      <c r="I328" s="19"/>
      <c r="J328" s="19"/>
      <c r="K328" s="19" t="s">
        <v>70</v>
      </c>
      <c r="L328" s="19"/>
      <c r="M328" s="19"/>
      <c r="N328" s="19"/>
      <c r="O328" s="18" t="str">
        <f aca="false">C328&amp;" "&amp;D328&amp;" spare part - Efforts Engineers"</f>
        <v>Mycom WA Series Connecting Rod spare part - Efforts Engineers</v>
      </c>
      <c r="P328" s="16" t="str">
        <f aca="false">IFERROR("/"&amp;LOWER(B328)&amp;"/"&amp;INDEX(Series!$D$2:$D$30,MATCH(C328,Series!$B$2:$B$30,0))&amp;"/"&amp;INDEX(Part_Categories!$C$2:$C$18,MATCH(D328,Part_Categories!$B$2:$B$18,0)),"CHECK")</f>
        <v>/mycom/wa-series/connecting-rod</v>
      </c>
      <c r="Q328" s="19"/>
    </row>
    <row r="329" customFormat="false" ht="23.85" hidden="false" customHeight="false" outlineLevel="0" collapsed="false">
      <c r="A329" s="16" t="n">
        <f aca="false">ROW()-1</f>
        <v>328</v>
      </c>
      <c r="B329" s="17" t="s">
        <v>78</v>
      </c>
      <c r="C329" s="17" t="s">
        <v>124</v>
      </c>
      <c r="D329" s="17" t="s">
        <v>94</v>
      </c>
      <c r="E329" s="16" t="str">
        <f aca="false">IFERROR(INDEX(Lists!$B$2:$B$7,MATCH(B329,Lists!$A$2:$A$7,0))&amp;"-"&amp;INDEX(Series!$C$2:$C$30,MATCH(C329,Series!$B$2:$B$30,0))&amp;"-"&amp;INDEX(Part_Categories!$A$2:$A$18,MATCH(D329,Part_Categories!$B$2:$B$18,0))&amp;"-01","CHECK")</f>
        <v>MYC-WA-CRK-01</v>
      </c>
      <c r="F329" s="16" t="str">
        <f aca="false">E329&amp;".jpg"</f>
        <v>MYC-WA-CRK-01.jpg</v>
      </c>
      <c r="G329" s="18" t="str">
        <f aca="false">IFERROR(INDEX(Series!$F$2:$F$30,MATCH(C329,Series!$B$2:$B$30,0)),"")</f>
        <v>2WA, 4WA, 6WA, 8WA, 42WA, 62WA</v>
      </c>
      <c r="H329" s="19"/>
      <c r="I329" s="19"/>
      <c r="J329" s="19"/>
      <c r="K329" s="19" t="s">
        <v>70</v>
      </c>
      <c r="L329" s="19"/>
      <c r="M329" s="19"/>
      <c r="N329" s="19"/>
      <c r="O329" s="18" t="str">
        <f aca="false">C329&amp;" "&amp;D329&amp;" spare part - Efforts Engineers"</f>
        <v>Mycom WA Series Crankshaft spare part - Efforts Engineers</v>
      </c>
      <c r="P329" s="16" t="str">
        <f aca="false">IFERROR("/"&amp;LOWER(B329)&amp;"/"&amp;INDEX(Series!$D$2:$D$30,MATCH(C329,Series!$B$2:$B$30,0))&amp;"/"&amp;INDEX(Part_Categories!$C$2:$C$18,MATCH(D329,Part_Categories!$B$2:$B$18,0)),"CHECK")</f>
        <v>/mycom/wa-series/crankshaft</v>
      </c>
      <c r="Q329" s="19"/>
    </row>
    <row r="330" customFormat="false" ht="23.85" hidden="false" customHeight="false" outlineLevel="0" collapsed="false">
      <c r="A330" s="16" t="n">
        <f aca="false">ROW()-1</f>
        <v>329</v>
      </c>
      <c r="B330" s="17" t="s">
        <v>78</v>
      </c>
      <c r="C330" s="17" t="s">
        <v>124</v>
      </c>
      <c r="D330" s="17" t="s">
        <v>95</v>
      </c>
      <c r="E330" s="16" t="str">
        <f aca="false">IFERROR(INDEX(Lists!$B$2:$B$7,MATCH(B330,Lists!$A$2:$A$7,0))&amp;"-"&amp;INDEX(Series!$C$2:$C$30,MATCH(C330,Series!$B$2:$B$30,0))&amp;"-"&amp;INDEX(Part_Categories!$A$2:$A$18,MATCH(D330,Part_Categories!$B$2:$B$18,0))&amp;"-01","CHECK")</f>
        <v>MYC-WA-PIN-01</v>
      </c>
      <c r="F330" s="16" t="str">
        <f aca="false">E330&amp;".jpg"</f>
        <v>MYC-WA-PIN-01.jpg</v>
      </c>
      <c r="G330" s="18" t="str">
        <f aca="false">IFERROR(INDEX(Series!$F$2:$F$30,MATCH(C330,Series!$B$2:$B$30,0)),"")</f>
        <v>2WA, 4WA, 6WA, 8WA, 42WA, 62WA</v>
      </c>
      <c r="H330" s="19"/>
      <c r="I330" s="19"/>
      <c r="J330" s="19"/>
      <c r="K330" s="19" t="s">
        <v>70</v>
      </c>
      <c r="L330" s="19"/>
      <c r="M330" s="19"/>
      <c r="N330" s="19"/>
      <c r="O330" s="18" t="str">
        <f aca="false">C330&amp;" "&amp;D330&amp;" spare part - Efforts Engineers"</f>
        <v>Mycom WA Series Gudgeon Pin and Bush spare part - Efforts Engineers</v>
      </c>
      <c r="P330" s="16" t="str">
        <f aca="false">IFERROR("/"&amp;LOWER(B330)&amp;"/"&amp;INDEX(Series!$D$2:$D$30,MATCH(C330,Series!$B$2:$B$30,0))&amp;"/"&amp;INDEX(Part_Categories!$C$2:$C$18,MATCH(D330,Part_Categories!$B$2:$B$18,0)),"CHECK")</f>
        <v>/mycom/wa-series/gudgeon-pin-and-bush</v>
      </c>
      <c r="Q330" s="19"/>
    </row>
    <row r="331" customFormat="false" ht="23.85" hidden="false" customHeight="false" outlineLevel="0" collapsed="false">
      <c r="A331" s="16" t="n">
        <f aca="false">ROW()-1</f>
        <v>330</v>
      </c>
      <c r="B331" s="17" t="s">
        <v>78</v>
      </c>
      <c r="C331" s="17" t="s">
        <v>124</v>
      </c>
      <c r="D331" s="17" t="s">
        <v>96</v>
      </c>
      <c r="E331" s="16" t="str">
        <f aca="false">IFERROR(INDEX(Lists!$B$2:$B$7,MATCH(B331,Lists!$A$2:$A$7,0))&amp;"-"&amp;INDEX(Series!$C$2:$C$30,MATCH(C331,Series!$B$2:$B$30,0))&amp;"-"&amp;INDEX(Part_Categories!$A$2:$A$18,MATCH(D331,Part_Categories!$B$2:$B$18,0))&amp;"-01","CHECK")</f>
        <v>MYC-WA-BRG-01</v>
      </c>
      <c r="F331" s="16" t="str">
        <f aca="false">E331&amp;".jpg"</f>
        <v>MYC-WA-BRG-01.jpg</v>
      </c>
      <c r="G331" s="18" t="str">
        <f aca="false">IFERROR(INDEX(Series!$F$2:$F$30,MATCH(C331,Series!$B$2:$B$30,0)),"")</f>
        <v>2WA, 4WA, 6WA, 8WA, 42WA, 62WA</v>
      </c>
      <c r="H331" s="19"/>
      <c r="I331" s="19"/>
      <c r="J331" s="19"/>
      <c r="K331" s="19" t="s">
        <v>70</v>
      </c>
      <c r="L331" s="19"/>
      <c r="M331" s="19"/>
      <c r="N331" s="19"/>
      <c r="O331" s="18" t="str">
        <f aca="false">C331&amp;" "&amp;D331&amp;" spare part - Efforts Engineers"</f>
        <v>Mycom WA Series Main Bearing and Bush spare part - Efforts Engineers</v>
      </c>
      <c r="P331" s="16" t="str">
        <f aca="false">IFERROR("/"&amp;LOWER(B331)&amp;"/"&amp;INDEX(Series!$D$2:$D$30,MATCH(C331,Series!$B$2:$B$30,0))&amp;"/"&amp;INDEX(Part_Categories!$C$2:$C$18,MATCH(D331,Part_Categories!$B$2:$B$18,0)),"CHECK")</f>
        <v>/mycom/wa-series/main-bearing-and-bush</v>
      </c>
      <c r="Q331" s="19"/>
    </row>
    <row r="332" customFormat="false" ht="23.85" hidden="false" customHeight="false" outlineLevel="0" collapsed="false">
      <c r="A332" s="16" t="n">
        <f aca="false">ROW()-1</f>
        <v>331</v>
      </c>
      <c r="B332" s="17" t="s">
        <v>78</v>
      </c>
      <c r="C332" s="17" t="s">
        <v>124</v>
      </c>
      <c r="D332" s="17" t="s">
        <v>97</v>
      </c>
      <c r="E332" s="16" t="str">
        <f aca="false">IFERROR(INDEX(Lists!$B$2:$B$7,MATCH(B332,Lists!$A$2:$A$7,0))&amp;"-"&amp;INDEX(Series!$C$2:$C$30,MATCH(C332,Series!$B$2:$B$30,0))&amp;"-"&amp;INDEX(Part_Categories!$A$2:$A$18,MATCH(D332,Part_Categories!$B$2:$B$18,0))&amp;"-01","CHECK")</f>
        <v>MYC-WA-SVP-01</v>
      </c>
      <c r="F332" s="16" t="str">
        <f aca="false">E332&amp;".jpg"</f>
        <v>MYC-WA-SVP-01.jpg</v>
      </c>
      <c r="G332" s="18" t="str">
        <f aca="false">IFERROR(INDEX(Series!$F$2:$F$30,MATCH(C332,Series!$B$2:$B$30,0)),"")</f>
        <v>2WA, 4WA, 6WA, 8WA, 42WA, 62WA</v>
      </c>
      <c r="H332" s="19"/>
      <c r="I332" s="19"/>
      <c r="J332" s="19"/>
      <c r="K332" s="19" t="s">
        <v>70</v>
      </c>
      <c r="L332" s="19"/>
      <c r="M332" s="19"/>
      <c r="N332" s="19"/>
      <c r="O332" s="18" t="str">
        <f aca="false">C332&amp;" "&amp;D332&amp;" spare part - Efforts Engineers"</f>
        <v>Mycom WA Series Suction Valve Plate spare part - Efforts Engineers</v>
      </c>
      <c r="P332" s="16" t="str">
        <f aca="false">IFERROR("/"&amp;LOWER(B332)&amp;"/"&amp;INDEX(Series!$D$2:$D$30,MATCH(C332,Series!$B$2:$B$30,0))&amp;"/"&amp;INDEX(Part_Categories!$C$2:$C$18,MATCH(D332,Part_Categories!$B$2:$B$18,0)),"CHECK")</f>
        <v>/mycom/wa-series/suction-valve-plate</v>
      </c>
      <c r="Q332" s="19"/>
    </row>
    <row r="333" customFormat="false" ht="23.85" hidden="false" customHeight="false" outlineLevel="0" collapsed="false">
      <c r="A333" s="16" t="n">
        <f aca="false">ROW()-1</f>
        <v>332</v>
      </c>
      <c r="B333" s="17" t="s">
        <v>78</v>
      </c>
      <c r="C333" s="17" t="s">
        <v>124</v>
      </c>
      <c r="D333" s="17" t="s">
        <v>98</v>
      </c>
      <c r="E333" s="16" t="str">
        <f aca="false">IFERROR(INDEX(Lists!$B$2:$B$7,MATCH(B333,Lists!$A$2:$A$7,0))&amp;"-"&amp;INDEX(Series!$C$2:$C$30,MATCH(C333,Series!$B$2:$B$30,0))&amp;"-"&amp;INDEX(Part_Categories!$A$2:$A$18,MATCH(D333,Part_Categories!$B$2:$B$18,0))&amp;"-01","CHECK")</f>
        <v>MYC-WA-DVA-01</v>
      </c>
      <c r="F333" s="16" t="str">
        <f aca="false">E333&amp;".jpg"</f>
        <v>MYC-WA-DVA-01.jpg</v>
      </c>
      <c r="G333" s="18" t="str">
        <f aca="false">IFERROR(INDEX(Series!$F$2:$F$30,MATCH(C333,Series!$B$2:$B$30,0)),"")</f>
        <v>2WA, 4WA, 6WA, 8WA, 42WA, 62WA</v>
      </c>
      <c r="H333" s="19"/>
      <c r="I333" s="19"/>
      <c r="J333" s="19"/>
      <c r="K333" s="19" t="s">
        <v>70</v>
      </c>
      <c r="L333" s="19"/>
      <c r="M333" s="19"/>
      <c r="N333" s="19"/>
      <c r="O333" s="18" t="str">
        <f aca="false">C333&amp;" "&amp;D333&amp;" spare part - Efforts Engineers"</f>
        <v>Mycom WA Series Discharge Valve Assembly spare part - Efforts Engineers</v>
      </c>
      <c r="P333" s="16" t="str">
        <f aca="false">IFERROR("/"&amp;LOWER(B333)&amp;"/"&amp;INDEX(Series!$D$2:$D$30,MATCH(C333,Series!$B$2:$B$30,0))&amp;"/"&amp;INDEX(Part_Categories!$C$2:$C$18,MATCH(D333,Part_Categories!$B$2:$B$18,0)),"CHECK")</f>
        <v>/mycom/wa-series/discharge-valve-assembly</v>
      </c>
      <c r="Q333" s="19"/>
    </row>
    <row r="334" customFormat="false" ht="23.85" hidden="false" customHeight="false" outlineLevel="0" collapsed="false">
      <c r="A334" s="16" t="n">
        <f aca="false">ROW()-1</f>
        <v>333</v>
      </c>
      <c r="B334" s="17" t="s">
        <v>78</v>
      </c>
      <c r="C334" s="17" t="s">
        <v>124</v>
      </c>
      <c r="D334" s="17" t="s">
        <v>99</v>
      </c>
      <c r="E334" s="16" t="str">
        <f aca="false">IFERROR(INDEX(Lists!$B$2:$B$7,MATCH(B334,Lists!$A$2:$A$7,0))&amp;"-"&amp;INDEX(Series!$C$2:$C$30,MATCH(C334,Series!$B$2:$B$30,0))&amp;"-"&amp;INDEX(Part_Categories!$A$2:$A$18,MATCH(D334,Part_Categories!$B$2:$B$18,0))&amp;"-01","CHECK")</f>
        <v>MYC-WA-VSP-01</v>
      </c>
      <c r="F334" s="16" t="str">
        <f aca="false">E334&amp;".jpg"</f>
        <v>MYC-WA-VSP-01.jpg</v>
      </c>
      <c r="G334" s="18" t="str">
        <f aca="false">IFERROR(INDEX(Series!$F$2:$F$30,MATCH(C334,Series!$B$2:$B$30,0)),"")</f>
        <v>2WA, 4WA, 6WA, 8WA, 42WA, 62WA</v>
      </c>
      <c r="H334" s="19"/>
      <c r="I334" s="19"/>
      <c r="J334" s="19"/>
      <c r="K334" s="19" t="s">
        <v>70</v>
      </c>
      <c r="L334" s="19"/>
      <c r="M334" s="19"/>
      <c r="N334" s="19"/>
      <c r="O334" s="18" t="str">
        <f aca="false">C334&amp;" "&amp;D334&amp;" spare part - Efforts Engineers"</f>
        <v>Mycom WA Series Valve Spring and Cage spare part - Efforts Engineers</v>
      </c>
      <c r="P334" s="16" t="str">
        <f aca="false">IFERROR("/"&amp;LOWER(B334)&amp;"/"&amp;INDEX(Series!$D$2:$D$30,MATCH(C334,Series!$B$2:$B$30,0))&amp;"/"&amp;INDEX(Part_Categories!$C$2:$C$18,MATCH(D334,Part_Categories!$B$2:$B$18,0)),"CHECK")</f>
        <v>/mycom/wa-series/valve-spring-and-cage</v>
      </c>
      <c r="Q334" s="19"/>
    </row>
    <row r="335" customFormat="false" ht="23.85" hidden="false" customHeight="false" outlineLevel="0" collapsed="false">
      <c r="A335" s="16" t="n">
        <f aca="false">ROW()-1</f>
        <v>334</v>
      </c>
      <c r="B335" s="17" t="s">
        <v>78</v>
      </c>
      <c r="C335" s="17" t="s">
        <v>124</v>
      </c>
      <c r="D335" s="17" t="s">
        <v>100</v>
      </c>
      <c r="E335" s="16" t="str">
        <f aca="false">IFERROR(INDEX(Lists!$B$2:$B$7,MATCH(B335,Lists!$A$2:$A$7,0))&amp;"-"&amp;INDEX(Series!$C$2:$C$30,MATCH(C335,Series!$B$2:$B$30,0))&amp;"-"&amp;INDEX(Part_Categories!$A$2:$A$18,MATCH(D335,Part_Categories!$B$2:$B$18,0))&amp;"-01","CHECK")</f>
        <v>MYC-WA-HDC-01</v>
      </c>
      <c r="F335" s="16" t="str">
        <f aca="false">E335&amp;".jpg"</f>
        <v>MYC-WA-HDC-01.jpg</v>
      </c>
      <c r="G335" s="18" t="str">
        <f aca="false">IFERROR(INDEX(Series!$F$2:$F$30,MATCH(C335,Series!$B$2:$B$30,0)),"")</f>
        <v>2WA, 4WA, 6WA, 8WA, 42WA, 62WA</v>
      </c>
      <c r="H335" s="19"/>
      <c r="I335" s="19"/>
      <c r="J335" s="19"/>
      <c r="K335" s="19" t="s">
        <v>70</v>
      </c>
      <c r="L335" s="19"/>
      <c r="M335" s="19"/>
      <c r="N335" s="19"/>
      <c r="O335" s="18" t="str">
        <f aca="false">C335&amp;" "&amp;D335&amp;" spare part - Efforts Engineers"</f>
        <v>Mycom WA Series Cylinder Head Cover spare part - Efforts Engineers</v>
      </c>
      <c r="P335" s="16" t="str">
        <f aca="false">IFERROR("/"&amp;LOWER(B335)&amp;"/"&amp;INDEX(Series!$D$2:$D$30,MATCH(C335,Series!$B$2:$B$30,0))&amp;"/"&amp;INDEX(Part_Categories!$C$2:$C$18,MATCH(D335,Part_Categories!$B$2:$B$18,0)),"CHECK")</f>
        <v>/mycom/wa-series/cylinder-head-cover</v>
      </c>
      <c r="Q335" s="19"/>
    </row>
    <row r="336" customFormat="false" ht="23.85" hidden="false" customHeight="false" outlineLevel="0" collapsed="false">
      <c r="A336" s="16" t="n">
        <f aca="false">ROW()-1</f>
        <v>335</v>
      </c>
      <c r="B336" s="17" t="s">
        <v>78</v>
      </c>
      <c r="C336" s="17" t="s">
        <v>124</v>
      </c>
      <c r="D336" s="17" t="s">
        <v>101</v>
      </c>
      <c r="E336" s="16" t="str">
        <f aca="false">IFERROR(INDEX(Lists!$B$2:$B$7,MATCH(B336,Lists!$A$2:$A$7,0))&amp;"-"&amp;INDEX(Series!$C$2:$C$30,MATCH(C336,Series!$B$2:$B$30,0))&amp;"-"&amp;INDEX(Part_Categories!$A$2:$A$18,MATCH(D336,Part_Categories!$B$2:$B$18,0))&amp;"-01","CHECK")</f>
        <v>MYC-WA-GSK-01</v>
      </c>
      <c r="F336" s="16" t="str">
        <f aca="false">E336&amp;".jpg"</f>
        <v>MYC-WA-GSK-01.jpg</v>
      </c>
      <c r="G336" s="18" t="str">
        <f aca="false">IFERROR(INDEX(Series!$F$2:$F$30,MATCH(C336,Series!$B$2:$B$30,0)),"")</f>
        <v>2WA, 4WA, 6WA, 8WA, 42WA, 62WA</v>
      </c>
      <c r="H336" s="19"/>
      <c r="I336" s="19"/>
      <c r="J336" s="19"/>
      <c r="K336" s="19" t="s">
        <v>70</v>
      </c>
      <c r="L336" s="19"/>
      <c r="M336" s="19"/>
      <c r="N336" s="19"/>
      <c r="O336" s="18" t="str">
        <f aca="false">C336&amp;" "&amp;D336&amp;" spare part - Efforts Engineers"</f>
        <v>Mycom WA Series Gasket and Overhaul Kit spare part - Efforts Engineers</v>
      </c>
      <c r="P336" s="16" t="str">
        <f aca="false">IFERROR("/"&amp;LOWER(B336)&amp;"/"&amp;INDEX(Series!$D$2:$D$30,MATCH(C336,Series!$B$2:$B$30,0))&amp;"/"&amp;INDEX(Part_Categories!$C$2:$C$18,MATCH(D336,Part_Categories!$B$2:$B$18,0)),"CHECK")</f>
        <v>/mycom/wa-series/gasket-and-overhaul-kit</v>
      </c>
      <c r="Q336" s="19"/>
    </row>
    <row r="337" customFormat="false" ht="23.85" hidden="false" customHeight="false" outlineLevel="0" collapsed="false">
      <c r="A337" s="16" t="n">
        <f aca="false">ROW()-1</f>
        <v>336</v>
      </c>
      <c r="B337" s="17" t="s">
        <v>78</v>
      </c>
      <c r="C337" s="17" t="s">
        <v>124</v>
      </c>
      <c r="D337" s="17" t="s">
        <v>102</v>
      </c>
      <c r="E337" s="16" t="str">
        <f aca="false">IFERROR(INDEX(Lists!$B$2:$B$7,MATCH(B337,Lists!$A$2:$A$7,0))&amp;"-"&amp;INDEX(Series!$C$2:$C$30,MATCH(C337,Series!$B$2:$B$30,0))&amp;"-"&amp;INDEX(Part_Categories!$A$2:$A$18,MATCH(D337,Part_Categories!$B$2:$B$18,0))&amp;"-01","CHECK")</f>
        <v>MYC-WA-OPA-01</v>
      </c>
      <c r="F337" s="16" t="str">
        <f aca="false">E337&amp;".jpg"</f>
        <v>MYC-WA-OPA-01.jpg</v>
      </c>
      <c r="G337" s="18" t="str">
        <f aca="false">IFERROR(INDEX(Series!$F$2:$F$30,MATCH(C337,Series!$B$2:$B$30,0)),"")</f>
        <v>2WA, 4WA, 6WA, 8WA, 42WA, 62WA</v>
      </c>
      <c r="H337" s="19"/>
      <c r="I337" s="19"/>
      <c r="J337" s="19"/>
      <c r="K337" s="19" t="s">
        <v>70</v>
      </c>
      <c r="L337" s="19"/>
      <c r="M337" s="19"/>
      <c r="N337" s="19"/>
      <c r="O337" s="18" t="str">
        <f aca="false">C337&amp;" "&amp;D337&amp;" spare part - Efforts Engineers"</f>
        <v>Mycom WA Series Oil Pump Assembly spare part - Efforts Engineers</v>
      </c>
      <c r="P337" s="16" t="str">
        <f aca="false">IFERROR("/"&amp;LOWER(B337)&amp;"/"&amp;INDEX(Series!$D$2:$D$30,MATCH(C337,Series!$B$2:$B$30,0))&amp;"/"&amp;INDEX(Part_Categories!$C$2:$C$18,MATCH(D337,Part_Categories!$B$2:$B$18,0)),"CHECK")</f>
        <v>/mycom/wa-series/oil-pump-assembly</v>
      </c>
      <c r="Q337" s="19"/>
    </row>
    <row r="338" customFormat="false" ht="23.85" hidden="false" customHeight="false" outlineLevel="0" collapsed="false">
      <c r="A338" s="16" t="n">
        <f aca="false">ROW()-1</f>
        <v>337</v>
      </c>
      <c r="B338" s="17" t="s">
        <v>78</v>
      </c>
      <c r="C338" s="17" t="s">
        <v>124</v>
      </c>
      <c r="D338" s="17" t="s">
        <v>103</v>
      </c>
      <c r="E338" s="16" t="str">
        <f aca="false">IFERROR(INDEX(Lists!$B$2:$B$7,MATCH(B338,Lists!$A$2:$A$7,0))&amp;"-"&amp;INDEX(Series!$C$2:$C$30,MATCH(C338,Series!$B$2:$B$30,0))&amp;"-"&amp;INDEX(Part_Categories!$A$2:$A$18,MATCH(D338,Part_Categories!$B$2:$B$18,0))&amp;"-01","CHECK")</f>
        <v>MYC-WA-SHS-01</v>
      </c>
      <c r="F338" s="16" t="str">
        <f aca="false">E338&amp;".jpg"</f>
        <v>MYC-WA-SHS-01.jpg</v>
      </c>
      <c r="G338" s="18" t="str">
        <f aca="false">IFERROR(INDEX(Series!$F$2:$F$30,MATCH(C338,Series!$B$2:$B$30,0)),"")</f>
        <v>2WA, 4WA, 6WA, 8WA, 42WA, 62WA</v>
      </c>
      <c r="H338" s="19"/>
      <c r="I338" s="19"/>
      <c r="J338" s="19"/>
      <c r="K338" s="19" t="s">
        <v>70</v>
      </c>
      <c r="L338" s="19"/>
      <c r="M338" s="19"/>
      <c r="N338" s="19"/>
      <c r="O338" s="18" t="str">
        <f aca="false">C338&amp;" "&amp;D338&amp;" spare part - Efforts Engineers"</f>
        <v>Mycom WA Series Shaft Seal spare part - Efforts Engineers</v>
      </c>
      <c r="P338" s="16" t="str">
        <f aca="false">IFERROR("/"&amp;LOWER(B338)&amp;"/"&amp;INDEX(Series!$D$2:$D$30,MATCH(C338,Series!$B$2:$B$30,0))&amp;"/"&amp;INDEX(Part_Categories!$C$2:$C$18,MATCH(D338,Part_Categories!$B$2:$B$18,0)),"CHECK")</f>
        <v>/mycom/wa-series/shaft-seal</v>
      </c>
      <c r="Q338" s="19"/>
    </row>
    <row r="339" customFormat="false" ht="23.85" hidden="false" customHeight="false" outlineLevel="0" collapsed="false">
      <c r="A339" s="16" t="n">
        <f aca="false">ROW()-1</f>
        <v>338</v>
      </c>
      <c r="B339" s="17" t="s">
        <v>78</v>
      </c>
      <c r="C339" s="17" t="s">
        <v>124</v>
      </c>
      <c r="D339" s="17" t="s">
        <v>104</v>
      </c>
      <c r="E339" s="16" t="str">
        <f aca="false">IFERROR(INDEX(Lists!$B$2:$B$7,MATCH(B339,Lists!$A$2:$A$7,0))&amp;"-"&amp;INDEX(Series!$C$2:$C$30,MATCH(C339,Series!$B$2:$B$30,0))&amp;"-"&amp;INDEX(Part_Categories!$A$2:$A$18,MATCH(D339,Part_Categories!$B$2:$B$18,0))&amp;"-01","CHECK")</f>
        <v>MYC-WA-FLT-01</v>
      </c>
      <c r="F339" s="16" t="str">
        <f aca="false">E339&amp;".jpg"</f>
        <v>MYC-WA-FLT-01.jpg</v>
      </c>
      <c r="G339" s="18" t="str">
        <f aca="false">IFERROR(INDEX(Series!$F$2:$F$30,MATCH(C339,Series!$B$2:$B$30,0)),"")</f>
        <v>2WA, 4WA, 6WA, 8WA, 42WA, 62WA</v>
      </c>
      <c r="H339" s="19"/>
      <c r="I339" s="19"/>
      <c r="J339" s="19"/>
      <c r="K339" s="19" t="s">
        <v>70</v>
      </c>
      <c r="L339" s="19"/>
      <c r="M339" s="19"/>
      <c r="N339" s="19"/>
      <c r="O339" s="18" t="str">
        <f aca="false">C339&amp;" "&amp;D339&amp;" spare part - Efforts Engineers"</f>
        <v>Mycom WA Series Oil Filter and Strainer spare part - Efforts Engineers</v>
      </c>
      <c r="P339" s="16" t="str">
        <f aca="false">IFERROR("/"&amp;LOWER(B339)&amp;"/"&amp;INDEX(Series!$D$2:$D$30,MATCH(C339,Series!$B$2:$B$30,0))&amp;"/"&amp;INDEX(Part_Categories!$C$2:$C$18,MATCH(D339,Part_Categories!$B$2:$B$18,0)),"CHECK")</f>
        <v>/mycom/wa-series/oil-filter-and-strainer</v>
      </c>
      <c r="Q339" s="19"/>
    </row>
    <row r="340" customFormat="false" ht="23.85" hidden="false" customHeight="false" outlineLevel="0" collapsed="false">
      <c r="A340" s="16" t="n">
        <f aca="false">ROW()-1</f>
        <v>339</v>
      </c>
      <c r="B340" s="17" t="s">
        <v>78</v>
      </c>
      <c r="C340" s="17" t="s">
        <v>124</v>
      </c>
      <c r="D340" s="17" t="s">
        <v>105</v>
      </c>
      <c r="E340" s="16" t="str">
        <f aca="false">IFERROR(INDEX(Lists!$B$2:$B$7,MATCH(B340,Lists!$A$2:$A$7,0))&amp;"-"&amp;INDEX(Series!$C$2:$C$30,MATCH(C340,Series!$B$2:$B$30,0))&amp;"-"&amp;INDEX(Part_Categories!$A$2:$A$18,MATCH(D340,Part_Categories!$B$2:$B$18,0))&amp;"-01","CHECK")</f>
        <v>MYC-WA-ULD-01</v>
      </c>
      <c r="F340" s="16" t="str">
        <f aca="false">E340&amp;".jpg"</f>
        <v>MYC-WA-ULD-01.jpg</v>
      </c>
      <c r="G340" s="18" t="str">
        <f aca="false">IFERROR(INDEX(Series!$F$2:$F$30,MATCH(C340,Series!$B$2:$B$30,0)),"")</f>
        <v>2WA, 4WA, 6WA, 8WA, 42WA, 62WA</v>
      </c>
      <c r="H340" s="19"/>
      <c r="I340" s="19"/>
      <c r="J340" s="19"/>
      <c r="K340" s="19" t="s">
        <v>70</v>
      </c>
      <c r="L340" s="19"/>
      <c r="M340" s="19"/>
      <c r="N340" s="19"/>
      <c r="O340" s="18" t="str">
        <f aca="false">C340&amp;" "&amp;D340&amp;" spare part - Efforts Engineers"</f>
        <v>Mycom WA Series Unloader and Capacity Control spare part - Efforts Engineers</v>
      </c>
      <c r="P340" s="16" t="str">
        <f aca="false">IFERROR("/"&amp;LOWER(B340)&amp;"/"&amp;INDEX(Series!$D$2:$D$30,MATCH(C340,Series!$B$2:$B$30,0))&amp;"/"&amp;INDEX(Part_Categories!$C$2:$C$18,MATCH(D340,Part_Categories!$B$2:$B$18,0)),"CHECK")</f>
        <v>/mycom/wa-series/unloader-and-capacity-control</v>
      </c>
      <c r="Q340" s="19"/>
    </row>
    <row r="341" customFormat="false" ht="23.85" hidden="false" customHeight="false" outlineLevel="0" collapsed="false">
      <c r="A341" s="16" t="n">
        <f aca="false">ROW()-1</f>
        <v>340</v>
      </c>
      <c r="B341" s="17" t="s">
        <v>78</v>
      </c>
      <c r="C341" s="17" t="s">
        <v>124</v>
      </c>
      <c r="D341" s="17" t="s">
        <v>106</v>
      </c>
      <c r="E341" s="16" t="str">
        <f aca="false">IFERROR(INDEX(Lists!$B$2:$B$7,MATCH(B341,Lists!$A$2:$A$7,0))&amp;"-"&amp;INDEX(Series!$C$2:$C$30,MATCH(C341,Series!$B$2:$B$30,0))&amp;"-"&amp;INDEX(Part_Categories!$A$2:$A$18,MATCH(D341,Part_Categories!$B$2:$B$18,0))&amp;"-01","CHECK")</f>
        <v>MYC-WA-SAF-01</v>
      </c>
      <c r="F341" s="16" t="str">
        <f aca="false">E341&amp;".jpg"</f>
        <v>MYC-WA-SAF-01.jpg</v>
      </c>
      <c r="G341" s="18" t="str">
        <f aca="false">IFERROR(INDEX(Series!$F$2:$F$30,MATCH(C341,Series!$B$2:$B$30,0)),"")</f>
        <v>2WA, 4WA, 6WA, 8WA, 42WA, 62WA</v>
      </c>
      <c r="H341" s="19"/>
      <c r="I341" s="19"/>
      <c r="J341" s="19"/>
      <c r="K341" s="19" t="s">
        <v>70</v>
      </c>
      <c r="L341" s="19"/>
      <c r="M341" s="19"/>
      <c r="N341" s="19"/>
      <c r="O341" s="18" t="str">
        <f aca="false">C341&amp;" "&amp;D341&amp;" spare part - Efforts Engineers"</f>
        <v>Mycom WA Series Safety Head and Relief Valve spare part - Efforts Engineers</v>
      </c>
      <c r="P341" s="16" t="str">
        <f aca="false">IFERROR("/"&amp;LOWER(B341)&amp;"/"&amp;INDEX(Series!$D$2:$D$30,MATCH(C341,Series!$B$2:$B$30,0))&amp;"/"&amp;INDEX(Part_Categories!$C$2:$C$18,MATCH(D341,Part_Categories!$B$2:$B$18,0)),"CHECK")</f>
        <v>/mycom/wa-series/safety-head-and-relief-valve</v>
      </c>
      <c r="Q341" s="19"/>
    </row>
    <row r="342" customFormat="false" ht="23.85" hidden="false" customHeight="false" outlineLevel="0" collapsed="false">
      <c r="A342" s="16" t="n">
        <f aca="false">ROW()-1</f>
        <v>341</v>
      </c>
      <c r="B342" s="17" t="s">
        <v>78</v>
      </c>
      <c r="C342" s="17" t="s">
        <v>125</v>
      </c>
      <c r="D342" s="17" t="s">
        <v>58</v>
      </c>
      <c r="E342" s="16" t="str">
        <f aca="false">IFERROR(INDEX(Lists!$B$2:$B$7,MATCH(B342,Lists!$A$2:$A$7,0))&amp;"-"&amp;INDEX(Series!$C$2:$C$30,MATCH(C342,Series!$B$2:$B$30,0))&amp;"-"&amp;INDEX(Part_Categories!$A$2:$A$18,MATCH(D342,Part_Categories!$B$2:$B$18,0))&amp;"-01","CHECK")</f>
        <v>MYC-WB-CLN-01</v>
      </c>
      <c r="F342" s="16" t="str">
        <f aca="false">E342&amp;".jpg"</f>
        <v>MYC-WB-CLN-01.jpg</v>
      </c>
      <c r="G342" s="18" t="str">
        <f aca="false">IFERROR(INDEX(Series!$F$2:$F$30,MATCH(C342,Series!$B$2:$B$30,0)),"")</f>
        <v>4WB, 6WB, 8WB, 12WB, 42WB, 62WB</v>
      </c>
      <c r="H342" s="19"/>
      <c r="I342" s="19"/>
      <c r="J342" s="19"/>
      <c r="K342" s="19" t="s">
        <v>70</v>
      </c>
      <c r="L342" s="19"/>
      <c r="M342" s="19"/>
      <c r="N342" s="19"/>
      <c r="O342" s="18" t="str">
        <f aca="false">C342&amp;" "&amp;D342&amp;" spare part - Efforts Engineers"</f>
        <v>Mycom WB Series Cylinder Liner spare part - Efforts Engineers</v>
      </c>
      <c r="P342" s="16" t="str">
        <f aca="false">IFERROR("/"&amp;LOWER(B342)&amp;"/"&amp;INDEX(Series!$D$2:$D$30,MATCH(C342,Series!$B$2:$B$30,0))&amp;"/"&amp;INDEX(Part_Categories!$C$2:$C$18,MATCH(D342,Part_Categories!$B$2:$B$18,0)),"CHECK")</f>
        <v>/mycom/wb-series/cylinder-liner</v>
      </c>
      <c r="Q342" s="19"/>
    </row>
    <row r="343" customFormat="false" ht="23.85" hidden="false" customHeight="false" outlineLevel="0" collapsed="false">
      <c r="A343" s="16" t="n">
        <f aca="false">ROW()-1</f>
        <v>342</v>
      </c>
      <c r="B343" s="17" t="s">
        <v>78</v>
      </c>
      <c r="C343" s="17" t="s">
        <v>125</v>
      </c>
      <c r="D343" s="17" t="s">
        <v>91</v>
      </c>
      <c r="E343" s="16" t="str">
        <f aca="false">IFERROR(INDEX(Lists!$B$2:$B$7,MATCH(B343,Lists!$A$2:$A$7,0))&amp;"-"&amp;INDEX(Series!$C$2:$C$30,MATCH(C343,Series!$B$2:$B$30,0))&amp;"-"&amp;INDEX(Part_Categories!$A$2:$A$18,MATCH(D343,Part_Categories!$B$2:$B$18,0))&amp;"-01","CHECK")</f>
        <v>MYC-WB-PST-01</v>
      </c>
      <c r="F343" s="16" t="str">
        <f aca="false">E343&amp;".jpg"</f>
        <v>MYC-WB-PST-01.jpg</v>
      </c>
      <c r="G343" s="18" t="str">
        <f aca="false">IFERROR(INDEX(Series!$F$2:$F$30,MATCH(C343,Series!$B$2:$B$30,0)),"")</f>
        <v>4WB, 6WB, 8WB, 12WB, 42WB, 62WB</v>
      </c>
      <c r="H343" s="19"/>
      <c r="I343" s="19"/>
      <c r="J343" s="19"/>
      <c r="K343" s="19" t="s">
        <v>70</v>
      </c>
      <c r="L343" s="19"/>
      <c r="M343" s="19"/>
      <c r="N343" s="19"/>
      <c r="O343" s="18" t="str">
        <f aca="false">C343&amp;" "&amp;D343&amp;" spare part - Efforts Engineers"</f>
        <v>Mycom WB Series Piston Assembly spare part - Efforts Engineers</v>
      </c>
      <c r="P343" s="16" t="str">
        <f aca="false">IFERROR("/"&amp;LOWER(B343)&amp;"/"&amp;INDEX(Series!$D$2:$D$30,MATCH(C343,Series!$B$2:$B$30,0))&amp;"/"&amp;INDEX(Part_Categories!$C$2:$C$18,MATCH(D343,Part_Categories!$B$2:$B$18,0)),"CHECK")</f>
        <v>/mycom/wb-series/piston-assembly</v>
      </c>
      <c r="Q343" s="19"/>
    </row>
    <row r="344" customFormat="false" ht="23.85" hidden="false" customHeight="false" outlineLevel="0" collapsed="false">
      <c r="A344" s="16" t="n">
        <f aca="false">ROW()-1</f>
        <v>343</v>
      </c>
      <c r="B344" s="17" t="s">
        <v>78</v>
      </c>
      <c r="C344" s="17" t="s">
        <v>125</v>
      </c>
      <c r="D344" s="17" t="s">
        <v>92</v>
      </c>
      <c r="E344" s="16" t="str">
        <f aca="false">IFERROR(INDEX(Lists!$B$2:$B$7,MATCH(B344,Lists!$A$2:$A$7,0))&amp;"-"&amp;INDEX(Series!$C$2:$C$30,MATCH(C344,Series!$B$2:$B$30,0))&amp;"-"&amp;INDEX(Part_Categories!$A$2:$A$18,MATCH(D344,Part_Categories!$B$2:$B$18,0))&amp;"-01","CHECK")</f>
        <v>MYC-WB-PRG-01</v>
      </c>
      <c r="F344" s="16" t="str">
        <f aca="false">E344&amp;".jpg"</f>
        <v>MYC-WB-PRG-01.jpg</v>
      </c>
      <c r="G344" s="18" t="str">
        <f aca="false">IFERROR(INDEX(Series!$F$2:$F$30,MATCH(C344,Series!$B$2:$B$30,0)),"")</f>
        <v>4WB, 6WB, 8WB, 12WB, 42WB, 62WB</v>
      </c>
      <c r="H344" s="19"/>
      <c r="I344" s="19"/>
      <c r="J344" s="19"/>
      <c r="K344" s="19" t="s">
        <v>70</v>
      </c>
      <c r="L344" s="19"/>
      <c r="M344" s="19"/>
      <c r="N344" s="19"/>
      <c r="O344" s="18" t="str">
        <f aca="false">C344&amp;" "&amp;D344&amp;" spare part - Efforts Engineers"</f>
        <v>Mycom WB Series Piston Ring Set spare part - Efforts Engineers</v>
      </c>
      <c r="P344" s="16" t="str">
        <f aca="false">IFERROR("/"&amp;LOWER(B344)&amp;"/"&amp;INDEX(Series!$D$2:$D$30,MATCH(C344,Series!$B$2:$B$30,0))&amp;"/"&amp;INDEX(Part_Categories!$C$2:$C$18,MATCH(D344,Part_Categories!$B$2:$B$18,0)),"CHECK")</f>
        <v>/mycom/wb-series/piston-ring-set</v>
      </c>
      <c r="Q344" s="19"/>
    </row>
    <row r="345" customFormat="false" ht="23.85" hidden="false" customHeight="false" outlineLevel="0" collapsed="false">
      <c r="A345" s="16" t="n">
        <f aca="false">ROW()-1</f>
        <v>344</v>
      </c>
      <c r="B345" s="17" t="s">
        <v>78</v>
      </c>
      <c r="C345" s="17" t="s">
        <v>125</v>
      </c>
      <c r="D345" s="17" t="s">
        <v>93</v>
      </c>
      <c r="E345" s="16" t="str">
        <f aca="false">IFERROR(INDEX(Lists!$B$2:$B$7,MATCH(B345,Lists!$A$2:$A$7,0))&amp;"-"&amp;INDEX(Series!$C$2:$C$30,MATCH(C345,Series!$B$2:$B$30,0))&amp;"-"&amp;INDEX(Part_Categories!$A$2:$A$18,MATCH(D345,Part_Categories!$B$2:$B$18,0))&amp;"-01","CHECK")</f>
        <v>MYC-WB-CRD-01</v>
      </c>
      <c r="F345" s="16" t="str">
        <f aca="false">E345&amp;".jpg"</f>
        <v>MYC-WB-CRD-01.jpg</v>
      </c>
      <c r="G345" s="18" t="str">
        <f aca="false">IFERROR(INDEX(Series!$F$2:$F$30,MATCH(C345,Series!$B$2:$B$30,0)),"")</f>
        <v>4WB, 6WB, 8WB, 12WB, 42WB, 62WB</v>
      </c>
      <c r="H345" s="19"/>
      <c r="I345" s="19"/>
      <c r="J345" s="19"/>
      <c r="K345" s="19" t="s">
        <v>70</v>
      </c>
      <c r="L345" s="19"/>
      <c r="M345" s="19"/>
      <c r="N345" s="19"/>
      <c r="O345" s="18" t="str">
        <f aca="false">C345&amp;" "&amp;D345&amp;" spare part - Efforts Engineers"</f>
        <v>Mycom WB Series Connecting Rod spare part - Efforts Engineers</v>
      </c>
      <c r="P345" s="16" t="str">
        <f aca="false">IFERROR("/"&amp;LOWER(B345)&amp;"/"&amp;INDEX(Series!$D$2:$D$30,MATCH(C345,Series!$B$2:$B$30,0))&amp;"/"&amp;INDEX(Part_Categories!$C$2:$C$18,MATCH(D345,Part_Categories!$B$2:$B$18,0)),"CHECK")</f>
        <v>/mycom/wb-series/connecting-rod</v>
      </c>
      <c r="Q345" s="19"/>
    </row>
    <row r="346" customFormat="false" ht="23.85" hidden="false" customHeight="false" outlineLevel="0" collapsed="false">
      <c r="A346" s="16" t="n">
        <f aca="false">ROW()-1</f>
        <v>345</v>
      </c>
      <c r="B346" s="17" t="s">
        <v>78</v>
      </c>
      <c r="C346" s="17" t="s">
        <v>125</v>
      </c>
      <c r="D346" s="17" t="s">
        <v>94</v>
      </c>
      <c r="E346" s="16" t="str">
        <f aca="false">IFERROR(INDEX(Lists!$B$2:$B$7,MATCH(B346,Lists!$A$2:$A$7,0))&amp;"-"&amp;INDEX(Series!$C$2:$C$30,MATCH(C346,Series!$B$2:$B$30,0))&amp;"-"&amp;INDEX(Part_Categories!$A$2:$A$18,MATCH(D346,Part_Categories!$B$2:$B$18,0))&amp;"-01","CHECK")</f>
        <v>MYC-WB-CRK-01</v>
      </c>
      <c r="F346" s="16" t="str">
        <f aca="false">E346&amp;".jpg"</f>
        <v>MYC-WB-CRK-01.jpg</v>
      </c>
      <c r="G346" s="18" t="str">
        <f aca="false">IFERROR(INDEX(Series!$F$2:$F$30,MATCH(C346,Series!$B$2:$B$30,0)),"")</f>
        <v>4WB, 6WB, 8WB, 12WB, 42WB, 62WB</v>
      </c>
      <c r="H346" s="19"/>
      <c r="I346" s="19"/>
      <c r="J346" s="19"/>
      <c r="K346" s="19" t="s">
        <v>70</v>
      </c>
      <c r="L346" s="19"/>
      <c r="M346" s="19"/>
      <c r="N346" s="19"/>
      <c r="O346" s="18" t="str">
        <f aca="false">C346&amp;" "&amp;D346&amp;" spare part - Efforts Engineers"</f>
        <v>Mycom WB Series Crankshaft spare part - Efforts Engineers</v>
      </c>
      <c r="P346" s="16" t="str">
        <f aca="false">IFERROR("/"&amp;LOWER(B346)&amp;"/"&amp;INDEX(Series!$D$2:$D$30,MATCH(C346,Series!$B$2:$B$30,0))&amp;"/"&amp;INDEX(Part_Categories!$C$2:$C$18,MATCH(D346,Part_Categories!$B$2:$B$18,0)),"CHECK")</f>
        <v>/mycom/wb-series/crankshaft</v>
      </c>
      <c r="Q346" s="19"/>
    </row>
    <row r="347" customFormat="false" ht="23.85" hidden="false" customHeight="false" outlineLevel="0" collapsed="false">
      <c r="A347" s="16" t="n">
        <f aca="false">ROW()-1</f>
        <v>346</v>
      </c>
      <c r="B347" s="17" t="s">
        <v>78</v>
      </c>
      <c r="C347" s="17" t="s">
        <v>125</v>
      </c>
      <c r="D347" s="17" t="s">
        <v>95</v>
      </c>
      <c r="E347" s="16" t="str">
        <f aca="false">IFERROR(INDEX(Lists!$B$2:$B$7,MATCH(B347,Lists!$A$2:$A$7,0))&amp;"-"&amp;INDEX(Series!$C$2:$C$30,MATCH(C347,Series!$B$2:$B$30,0))&amp;"-"&amp;INDEX(Part_Categories!$A$2:$A$18,MATCH(D347,Part_Categories!$B$2:$B$18,0))&amp;"-01","CHECK")</f>
        <v>MYC-WB-PIN-01</v>
      </c>
      <c r="F347" s="16" t="str">
        <f aca="false">E347&amp;".jpg"</f>
        <v>MYC-WB-PIN-01.jpg</v>
      </c>
      <c r="G347" s="18" t="str">
        <f aca="false">IFERROR(INDEX(Series!$F$2:$F$30,MATCH(C347,Series!$B$2:$B$30,0)),"")</f>
        <v>4WB, 6WB, 8WB, 12WB, 42WB, 62WB</v>
      </c>
      <c r="H347" s="19"/>
      <c r="I347" s="19"/>
      <c r="J347" s="19"/>
      <c r="K347" s="19" t="s">
        <v>70</v>
      </c>
      <c r="L347" s="19"/>
      <c r="M347" s="19"/>
      <c r="N347" s="19"/>
      <c r="O347" s="18" t="str">
        <f aca="false">C347&amp;" "&amp;D347&amp;" spare part - Efforts Engineers"</f>
        <v>Mycom WB Series Gudgeon Pin and Bush spare part - Efforts Engineers</v>
      </c>
      <c r="P347" s="16" t="str">
        <f aca="false">IFERROR("/"&amp;LOWER(B347)&amp;"/"&amp;INDEX(Series!$D$2:$D$30,MATCH(C347,Series!$B$2:$B$30,0))&amp;"/"&amp;INDEX(Part_Categories!$C$2:$C$18,MATCH(D347,Part_Categories!$B$2:$B$18,0)),"CHECK")</f>
        <v>/mycom/wb-series/gudgeon-pin-and-bush</v>
      </c>
      <c r="Q347" s="19"/>
    </row>
    <row r="348" customFormat="false" ht="23.85" hidden="false" customHeight="false" outlineLevel="0" collapsed="false">
      <c r="A348" s="16" t="n">
        <f aca="false">ROW()-1</f>
        <v>347</v>
      </c>
      <c r="B348" s="17" t="s">
        <v>78</v>
      </c>
      <c r="C348" s="17" t="s">
        <v>125</v>
      </c>
      <c r="D348" s="17" t="s">
        <v>96</v>
      </c>
      <c r="E348" s="16" t="str">
        <f aca="false">IFERROR(INDEX(Lists!$B$2:$B$7,MATCH(B348,Lists!$A$2:$A$7,0))&amp;"-"&amp;INDEX(Series!$C$2:$C$30,MATCH(C348,Series!$B$2:$B$30,0))&amp;"-"&amp;INDEX(Part_Categories!$A$2:$A$18,MATCH(D348,Part_Categories!$B$2:$B$18,0))&amp;"-01","CHECK")</f>
        <v>MYC-WB-BRG-01</v>
      </c>
      <c r="F348" s="16" t="str">
        <f aca="false">E348&amp;".jpg"</f>
        <v>MYC-WB-BRG-01.jpg</v>
      </c>
      <c r="G348" s="18" t="str">
        <f aca="false">IFERROR(INDEX(Series!$F$2:$F$30,MATCH(C348,Series!$B$2:$B$30,0)),"")</f>
        <v>4WB, 6WB, 8WB, 12WB, 42WB, 62WB</v>
      </c>
      <c r="H348" s="19"/>
      <c r="I348" s="19"/>
      <c r="J348" s="19"/>
      <c r="K348" s="19" t="s">
        <v>70</v>
      </c>
      <c r="L348" s="19"/>
      <c r="M348" s="19"/>
      <c r="N348" s="19"/>
      <c r="O348" s="18" t="str">
        <f aca="false">C348&amp;" "&amp;D348&amp;" spare part - Efforts Engineers"</f>
        <v>Mycom WB Series Main Bearing and Bush spare part - Efforts Engineers</v>
      </c>
      <c r="P348" s="16" t="str">
        <f aca="false">IFERROR("/"&amp;LOWER(B348)&amp;"/"&amp;INDEX(Series!$D$2:$D$30,MATCH(C348,Series!$B$2:$B$30,0))&amp;"/"&amp;INDEX(Part_Categories!$C$2:$C$18,MATCH(D348,Part_Categories!$B$2:$B$18,0)),"CHECK")</f>
        <v>/mycom/wb-series/main-bearing-and-bush</v>
      </c>
      <c r="Q348" s="19"/>
    </row>
    <row r="349" customFormat="false" ht="23.85" hidden="false" customHeight="false" outlineLevel="0" collapsed="false">
      <c r="A349" s="16" t="n">
        <f aca="false">ROW()-1</f>
        <v>348</v>
      </c>
      <c r="B349" s="17" t="s">
        <v>78</v>
      </c>
      <c r="C349" s="17" t="s">
        <v>125</v>
      </c>
      <c r="D349" s="17" t="s">
        <v>97</v>
      </c>
      <c r="E349" s="16" t="str">
        <f aca="false">IFERROR(INDEX(Lists!$B$2:$B$7,MATCH(B349,Lists!$A$2:$A$7,0))&amp;"-"&amp;INDEX(Series!$C$2:$C$30,MATCH(C349,Series!$B$2:$B$30,0))&amp;"-"&amp;INDEX(Part_Categories!$A$2:$A$18,MATCH(D349,Part_Categories!$B$2:$B$18,0))&amp;"-01","CHECK")</f>
        <v>MYC-WB-SVP-01</v>
      </c>
      <c r="F349" s="16" t="str">
        <f aca="false">E349&amp;".jpg"</f>
        <v>MYC-WB-SVP-01.jpg</v>
      </c>
      <c r="G349" s="18" t="str">
        <f aca="false">IFERROR(INDEX(Series!$F$2:$F$30,MATCH(C349,Series!$B$2:$B$30,0)),"")</f>
        <v>4WB, 6WB, 8WB, 12WB, 42WB, 62WB</v>
      </c>
      <c r="H349" s="19"/>
      <c r="I349" s="19"/>
      <c r="J349" s="19"/>
      <c r="K349" s="19" t="s">
        <v>70</v>
      </c>
      <c r="L349" s="19"/>
      <c r="M349" s="19"/>
      <c r="N349" s="19"/>
      <c r="O349" s="18" t="str">
        <f aca="false">C349&amp;" "&amp;D349&amp;" spare part - Efforts Engineers"</f>
        <v>Mycom WB Series Suction Valve Plate spare part - Efforts Engineers</v>
      </c>
      <c r="P349" s="16" t="str">
        <f aca="false">IFERROR("/"&amp;LOWER(B349)&amp;"/"&amp;INDEX(Series!$D$2:$D$30,MATCH(C349,Series!$B$2:$B$30,0))&amp;"/"&amp;INDEX(Part_Categories!$C$2:$C$18,MATCH(D349,Part_Categories!$B$2:$B$18,0)),"CHECK")</f>
        <v>/mycom/wb-series/suction-valve-plate</v>
      </c>
      <c r="Q349" s="19"/>
    </row>
    <row r="350" customFormat="false" ht="23.85" hidden="false" customHeight="false" outlineLevel="0" collapsed="false">
      <c r="A350" s="16" t="n">
        <f aca="false">ROW()-1</f>
        <v>349</v>
      </c>
      <c r="B350" s="17" t="s">
        <v>78</v>
      </c>
      <c r="C350" s="17" t="s">
        <v>125</v>
      </c>
      <c r="D350" s="17" t="s">
        <v>98</v>
      </c>
      <c r="E350" s="16" t="str">
        <f aca="false">IFERROR(INDEX(Lists!$B$2:$B$7,MATCH(B350,Lists!$A$2:$A$7,0))&amp;"-"&amp;INDEX(Series!$C$2:$C$30,MATCH(C350,Series!$B$2:$B$30,0))&amp;"-"&amp;INDEX(Part_Categories!$A$2:$A$18,MATCH(D350,Part_Categories!$B$2:$B$18,0))&amp;"-01","CHECK")</f>
        <v>MYC-WB-DVA-01</v>
      </c>
      <c r="F350" s="16" t="str">
        <f aca="false">E350&amp;".jpg"</f>
        <v>MYC-WB-DVA-01.jpg</v>
      </c>
      <c r="G350" s="18" t="str">
        <f aca="false">IFERROR(INDEX(Series!$F$2:$F$30,MATCH(C350,Series!$B$2:$B$30,0)),"")</f>
        <v>4WB, 6WB, 8WB, 12WB, 42WB, 62WB</v>
      </c>
      <c r="H350" s="19"/>
      <c r="I350" s="19"/>
      <c r="J350" s="19"/>
      <c r="K350" s="19" t="s">
        <v>70</v>
      </c>
      <c r="L350" s="19"/>
      <c r="M350" s="19"/>
      <c r="N350" s="19"/>
      <c r="O350" s="18" t="str">
        <f aca="false">C350&amp;" "&amp;D350&amp;" spare part - Efforts Engineers"</f>
        <v>Mycom WB Series Discharge Valve Assembly spare part - Efforts Engineers</v>
      </c>
      <c r="P350" s="16" t="str">
        <f aca="false">IFERROR("/"&amp;LOWER(B350)&amp;"/"&amp;INDEX(Series!$D$2:$D$30,MATCH(C350,Series!$B$2:$B$30,0))&amp;"/"&amp;INDEX(Part_Categories!$C$2:$C$18,MATCH(D350,Part_Categories!$B$2:$B$18,0)),"CHECK")</f>
        <v>/mycom/wb-series/discharge-valve-assembly</v>
      </c>
      <c r="Q350" s="19"/>
    </row>
    <row r="351" customFormat="false" ht="23.85" hidden="false" customHeight="false" outlineLevel="0" collapsed="false">
      <c r="A351" s="16" t="n">
        <f aca="false">ROW()-1</f>
        <v>350</v>
      </c>
      <c r="B351" s="17" t="s">
        <v>78</v>
      </c>
      <c r="C351" s="17" t="s">
        <v>125</v>
      </c>
      <c r="D351" s="17" t="s">
        <v>99</v>
      </c>
      <c r="E351" s="16" t="str">
        <f aca="false">IFERROR(INDEX(Lists!$B$2:$B$7,MATCH(B351,Lists!$A$2:$A$7,0))&amp;"-"&amp;INDEX(Series!$C$2:$C$30,MATCH(C351,Series!$B$2:$B$30,0))&amp;"-"&amp;INDEX(Part_Categories!$A$2:$A$18,MATCH(D351,Part_Categories!$B$2:$B$18,0))&amp;"-01","CHECK")</f>
        <v>MYC-WB-VSP-01</v>
      </c>
      <c r="F351" s="16" t="str">
        <f aca="false">E351&amp;".jpg"</f>
        <v>MYC-WB-VSP-01.jpg</v>
      </c>
      <c r="G351" s="18" t="str">
        <f aca="false">IFERROR(INDEX(Series!$F$2:$F$30,MATCH(C351,Series!$B$2:$B$30,0)),"")</f>
        <v>4WB, 6WB, 8WB, 12WB, 42WB, 62WB</v>
      </c>
      <c r="H351" s="19"/>
      <c r="I351" s="19"/>
      <c r="J351" s="19"/>
      <c r="K351" s="19" t="s">
        <v>70</v>
      </c>
      <c r="L351" s="19"/>
      <c r="M351" s="19"/>
      <c r="N351" s="19"/>
      <c r="O351" s="18" t="str">
        <f aca="false">C351&amp;" "&amp;D351&amp;" spare part - Efforts Engineers"</f>
        <v>Mycom WB Series Valve Spring and Cage spare part - Efforts Engineers</v>
      </c>
      <c r="P351" s="16" t="str">
        <f aca="false">IFERROR("/"&amp;LOWER(B351)&amp;"/"&amp;INDEX(Series!$D$2:$D$30,MATCH(C351,Series!$B$2:$B$30,0))&amp;"/"&amp;INDEX(Part_Categories!$C$2:$C$18,MATCH(D351,Part_Categories!$B$2:$B$18,0)),"CHECK")</f>
        <v>/mycom/wb-series/valve-spring-and-cage</v>
      </c>
      <c r="Q351" s="19"/>
    </row>
    <row r="352" customFormat="false" ht="23.85" hidden="false" customHeight="false" outlineLevel="0" collapsed="false">
      <c r="A352" s="16" t="n">
        <f aca="false">ROW()-1</f>
        <v>351</v>
      </c>
      <c r="B352" s="17" t="s">
        <v>78</v>
      </c>
      <c r="C352" s="17" t="s">
        <v>125</v>
      </c>
      <c r="D352" s="17" t="s">
        <v>100</v>
      </c>
      <c r="E352" s="16" t="str">
        <f aca="false">IFERROR(INDEX(Lists!$B$2:$B$7,MATCH(B352,Lists!$A$2:$A$7,0))&amp;"-"&amp;INDEX(Series!$C$2:$C$30,MATCH(C352,Series!$B$2:$B$30,0))&amp;"-"&amp;INDEX(Part_Categories!$A$2:$A$18,MATCH(D352,Part_Categories!$B$2:$B$18,0))&amp;"-01","CHECK")</f>
        <v>MYC-WB-HDC-01</v>
      </c>
      <c r="F352" s="16" t="str">
        <f aca="false">E352&amp;".jpg"</f>
        <v>MYC-WB-HDC-01.jpg</v>
      </c>
      <c r="G352" s="18" t="str">
        <f aca="false">IFERROR(INDEX(Series!$F$2:$F$30,MATCH(C352,Series!$B$2:$B$30,0)),"")</f>
        <v>4WB, 6WB, 8WB, 12WB, 42WB, 62WB</v>
      </c>
      <c r="H352" s="19"/>
      <c r="I352" s="19"/>
      <c r="J352" s="19"/>
      <c r="K352" s="19" t="s">
        <v>70</v>
      </c>
      <c r="L352" s="19"/>
      <c r="M352" s="19"/>
      <c r="N352" s="19"/>
      <c r="O352" s="18" t="str">
        <f aca="false">C352&amp;" "&amp;D352&amp;" spare part - Efforts Engineers"</f>
        <v>Mycom WB Series Cylinder Head Cover spare part - Efforts Engineers</v>
      </c>
      <c r="P352" s="16" t="str">
        <f aca="false">IFERROR("/"&amp;LOWER(B352)&amp;"/"&amp;INDEX(Series!$D$2:$D$30,MATCH(C352,Series!$B$2:$B$30,0))&amp;"/"&amp;INDEX(Part_Categories!$C$2:$C$18,MATCH(D352,Part_Categories!$B$2:$B$18,0)),"CHECK")</f>
        <v>/mycom/wb-series/cylinder-head-cover</v>
      </c>
      <c r="Q352" s="19"/>
    </row>
    <row r="353" customFormat="false" ht="23.85" hidden="false" customHeight="false" outlineLevel="0" collapsed="false">
      <c r="A353" s="16" t="n">
        <f aca="false">ROW()-1</f>
        <v>352</v>
      </c>
      <c r="B353" s="17" t="s">
        <v>78</v>
      </c>
      <c r="C353" s="17" t="s">
        <v>125</v>
      </c>
      <c r="D353" s="17" t="s">
        <v>101</v>
      </c>
      <c r="E353" s="16" t="str">
        <f aca="false">IFERROR(INDEX(Lists!$B$2:$B$7,MATCH(B353,Lists!$A$2:$A$7,0))&amp;"-"&amp;INDEX(Series!$C$2:$C$30,MATCH(C353,Series!$B$2:$B$30,0))&amp;"-"&amp;INDEX(Part_Categories!$A$2:$A$18,MATCH(D353,Part_Categories!$B$2:$B$18,0))&amp;"-01","CHECK")</f>
        <v>MYC-WB-GSK-01</v>
      </c>
      <c r="F353" s="16" t="str">
        <f aca="false">E353&amp;".jpg"</f>
        <v>MYC-WB-GSK-01.jpg</v>
      </c>
      <c r="G353" s="18" t="str">
        <f aca="false">IFERROR(INDEX(Series!$F$2:$F$30,MATCH(C353,Series!$B$2:$B$30,0)),"")</f>
        <v>4WB, 6WB, 8WB, 12WB, 42WB, 62WB</v>
      </c>
      <c r="H353" s="19"/>
      <c r="I353" s="19"/>
      <c r="J353" s="19"/>
      <c r="K353" s="19" t="s">
        <v>70</v>
      </c>
      <c r="L353" s="19"/>
      <c r="M353" s="19"/>
      <c r="N353" s="19"/>
      <c r="O353" s="18" t="str">
        <f aca="false">C353&amp;" "&amp;D353&amp;" spare part - Efforts Engineers"</f>
        <v>Mycom WB Series Gasket and Overhaul Kit spare part - Efforts Engineers</v>
      </c>
      <c r="P353" s="16" t="str">
        <f aca="false">IFERROR("/"&amp;LOWER(B353)&amp;"/"&amp;INDEX(Series!$D$2:$D$30,MATCH(C353,Series!$B$2:$B$30,0))&amp;"/"&amp;INDEX(Part_Categories!$C$2:$C$18,MATCH(D353,Part_Categories!$B$2:$B$18,0)),"CHECK")</f>
        <v>/mycom/wb-series/gasket-and-overhaul-kit</v>
      </c>
      <c r="Q353" s="19"/>
    </row>
    <row r="354" customFormat="false" ht="23.85" hidden="false" customHeight="false" outlineLevel="0" collapsed="false">
      <c r="A354" s="16" t="n">
        <f aca="false">ROW()-1</f>
        <v>353</v>
      </c>
      <c r="B354" s="17" t="s">
        <v>78</v>
      </c>
      <c r="C354" s="17" t="s">
        <v>125</v>
      </c>
      <c r="D354" s="17" t="s">
        <v>102</v>
      </c>
      <c r="E354" s="16" t="str">
        <f aca="false">IFERROR(INDEX(Lists!$B$2:$B$7,MATCH(B354,Lists!$A$2:$A$7,0))&amp;"-"&amp;INDEX(Series!$C$2:$C$30,MATCH(C354,Series!$B$2:$B$30,0))&amp;"-"&amp;INDEX(Part_Categories!$A$2:$A$18,MATCH(D354,Part_Categories!$B$2:$B$18,0))&amp;"-01","CHECK")</f>
        <v>MYC-WB-OPA-01</v>
      </c>
      <c r="F354" s="16" t="str">
        <f aca="false">E354&amp;".jpg"</f>
        <v>MYC-WB-OPA-01.jpg</v>
      </c>
      <c r="G354" s="18" t="str">
        <f aca="false">IFERROR(INDEX(Series!$F$2:$F$30,MATCH(C354,Series!$B$2:$B$30,0)),"")</f>
        <v>4WB, 6WB, 8WB, 12WB, 42WB, 62WB</v>
      </c>
      <c r="H354" s="19"/>
      <c r="I354" s="19"/>
      <c r="J354" s="19"/>
      <c r="K354" s="19" t="s">
        <v>70</v>
      </c>
      <c r="L354" s="19"/>
      <c r="M354" s="19"/>
      <c r="N354" s="19"/>
      <c r="O354" s="18" t="str">
        <f aca="false">C354&amp;" "&amp;D354&amp;" spare part - Efforts Engineers"</f>
        <v>Mycom WB Series Oil Pump Assembly spare part - Efforts Engineers</v>
      </c>
      <c r="P354" s="16" t="str">
        <f aca="false">IFERROR("/"&amp;LOWER(B354)&amp;"/"&amp;INDEX(Series!$D$2:$D$30,MATCH(C354,Series!$B$2:$B$30,0))&amp;"/"&amp;INDEX(Part_Categories!$C$2:$C$18,MATCH(D354,Part_Categories!$B$2:$B$18,0)),"CHECK")</f>
        <v>/mycom/wb-series/oil-pump-assembly</v>
      </c>
      <c r="Q354" s="19"/>
    </row>
    <row r="355" customFormat="false" ht="23.85" hidden="false" customHeight="false" outlineLevel="0" collapsed="false">
      <c r="A355" s="16" t="n">
        <f aca="false">ROW()-1</f>
        <v>354</v>
      </c>
      <c r="B355" s="17" t="s">
        <v>78</v>
      </c>
      <c r="C355" s="17" t="s">
        <v>125</v>
      </c>
      <c r="D355" s="17" t="s">
        <v>103</v>
      </c>
      <c r="E355" s="16" t="str">
        <f aca="false">IFERROR(INDEX(Lists!$B$2:$B$7,MATCH(B355,Lists!$A$2:$A$7,0))&amp;"-"&amp;INDEX(Series!$C$2:$C$30,MATCH(C355,Series!$B$2:$B$30,0))&amp;"-"&amp;INDEX(Part_Categories!$A$2:$A$18,MATCH(D355,Part_Categories!$B$2:$B$18,0))&amp;"-01","CHECK")</f>
        <v>MYC-WB-SHS-01</v>
      </c>
      <c r="F355" s="16" t="str">
        <f aca="false">E355&amp;".jpg"</f>
        <v>MYC-WB-SHS-01.jpg</v>
      </c>
      <c r="G355" s="18" t="str">
        <f aca="false">IFERROR(INDEX(Series!$F$2:$F$30,MATCH(C355,Series!$B$2:$B$30,0)),"")</f>
        <v>4WB, 6WB, 8WB, 12WB, 42WB, 62WB</v>
      </c>
      <c r="H355" s="19"/>
      <c r="I355" s="19"/>
      <c r="J355" s="19"/>
      <c r="K355" s="19" t="s">
        <v>70</v>
      </c>
      <c r="L355" s="19"/>
      <c r="M355" s="19"/>
      <c r="N355" s="19"/>
      <c r="O355" s="18" t="str">
        <f aca="false">C355&amp;" "&amp;D355&amp;" spare part - Efforts Engineers"</f>
        <v>Mycom WB Series Shaft Seal spare part - Efforts Engineers</v>
      </c>
      <c r="P355" s="16" t="str">
        <f aca="false">IFERROR("/"&amp;LOWER(B355)&amp;"/"&amp;INDEX(Series!$D$2:$D$30,MATCH(C355,Series!$B$2:$B$30,0))&amp;"/"&amp;INDEX(Part_Categories!$C$2:$C$18,MATCH(D355,Part_Categories!$B$2:$B$18,0)),"CHECK")</f>
        <v>/mycom/wb-series/shaft-seal</v>
      </c>
      <c r="Q355" s="19"/>
    </row>
    <row r="356" customFormat="false" ht="23.85" hidden="false" customHeight="false" outlineLevel="0" collapsed="false">
      <c r="A356" s="16" t="n">
        <f aca="false">ROW()-1</f>
        <v>355</v>
      </c>
      <c r="B356" s="17" t="s">
        <v>78</v>
      </c>
      <c r="C356" s="17" t="s">
        <v>125</v>
      </c>
      <c r="D356" s="17" t="s">
        <v>104</v>
      </c>
      <c r="E356" s="16" t="str">
        <f aca="false">IFERROR(INDEX(Lists!$B$2:$B$7,MATCH(B356,Lists!$A$2:$A$7,0))&amp;"-"&amp;INDEX(Series!$C$2:$C$30,MATCH(C356,Series!$B$2:$B$30,0))&amp;"-"&amp;INDEX(Part_Categories!$A$2:$A$18,MATCH(D356,Part_Categories!$B$2:$B$18,0))&amp;"-01","CHECK")</f>
        <v>MYC-WB-FLT-01</v>
      </c>
      <c r="F356" s="16" t="str">
        <f aca="false">E356&amp;".jpg"</f>
        <v>MYC-WB-FLT-01.jpg</v>
      </c>
      <c r="G356" s="18" t="str">
        <f aca="false">IFERROR(INDEX(Series!$F$2:$F$30,MATCH(C356,Series!$B$2:$B$30,0)),"")</f>
        <v>4WB, 6WB, 8WB, 12WB, 42WB, 62WB</v>
      </c>
      <c r="H356" s="19"/>
      <c r="I356" s="19"/>
      <c r="J356" s="19"/>
      <c r="K356" s="19" t="s">
        <v>70</v>
      </c>
      <c r="L356" s="19"/>
      <c r="M356" s="19"/>
      <c r="N356" s="19"/>
      <c r="O356" s="18" t="str">
        <f aca="false">C356&amp;" "&amp;D356&amp;" spare part - Efforts Engineers"</f>
        <v>Mycom WB Series Oil Filter and Strainer spare part - Efforts Engineers</v>
      </c>
      <c r="P356" s="16" t="str">
        <f aca="false">IFERROR("/"&amp;LOWER(B356)&amp;"/"&amp;INDEX(Series!$D$2:$D$30,MATCH(C356,Series!$B$2:$B$30,0))&amp;"/"&amp;INDEX(Part_Categories!$C$2:$C$18,MATCH(D356,Part_Categories!$B$2:$B$18,0)),"CHECK")</f>
        <v>/mycom/wb-series/oil-filter-and-strainer</v>
      </c>
      <c r="Q356" s="19"/>
    </row>
    <row r="357" customFormat="false" ht="23.85" hidden="false" customHeight="false" outlineLevel="0" collapsed="false">
      <c r="A357" s="16" t="n">
        <f aca="false">ROW()-1</f>
        <v>356</v>
      </c>
      <c r="B357" s="17" t="s">
        <v>78</v>
      </c>
      <c r="C357" s="17" t="s">
        <v>125</v>
      </c>
      <c r="D357" s="17" t="s">
        <v>105</v>
      </c>
      <c r="E357" s="16" t="str">
        <f aca="false">IFERROR(INDEX(Lists!$B$2:$B$7,MATCH(B357,Lists!$A$2:$A$7,0))&amp;"-"&amp;INDEX(Series!$C$2:$C$30,MATCH(C357,Series!$B$2:$B$30,0))&amp;"-"&amp;INDEX(Part_Categories!$A$2:$A$18,MATCH(D357,Part_Categories!$B$2:$B$18,0))&amp;"-01","CHECK")</f>
        <v>MYC-WB-ULD-01</v>
      </c>
      <c r="F357" s="16" t="str">
        <f aca="false">E357&amp;".jpg"</f>
        <v>MYC-WB-ULD-01.jpg</v>
      </c>
      <c r="G357" s="18" t="str">
        <f aca="false">IFERROR(INDEX(Series!$F$2:$F$30,MATCH(C357,Series!$B$2:$B$30,0)),"")</f>
        <v>4WB, 6WB, 8WB, 12WB, 42WB, 62WB</v>
      </c>
      <c r="H357" s="19"/>
      <c r="I357" s="19"/>
      <c r="J357" s="19"/>
      <c r="K357" s="19" t="s">
        <v>70</v>
      </c>
      <c r="L357" s="19"/>
      <c r="M357" s="19"/>
      <c r="N357" s="19"/>
      <c r="O357" s="18" t="str">
        <f aca="false">C357&amp;" "&amp;D357&amp;" spare part - Efforts Engineers"</f>
        <v>Mycom WB Series Unloader and Capacity Control spare part - Efforts Engineers</v>
      </c>
      <c r="P357" s="16" t="str">
        <f aca="false">IFERROR("/"&amp;LOWER(B357)&amp;"/"&amp;INDEX(Series!$D$2:$D$30,MATCH(C357,Series!$B$2:$B$30,0))&amp;"/"&amp;INDEX(Part_Categories!$C$2:$C$18,MATCH(D357,Part_Categories!$B$2:$B$18,0)),"CHECK")</f>
        <v>/mycom/wb-series/unloader-and-capacity-control</v>
      </c>
      <c r="Q357" s="19"/>
    </row>
    <row r="358" customFormat="false" ht="23.85" hidden="false" customHeight="false" outlineLevel="0" collapsed="false">
      <c r="A358" s="16" t="n">
        <f aca="false">ROW()-1</f>
        <v>357</v>
      </c>
      <c r="B358" s="17" t="s">
        <v>78</v>
      </c>
      <c r="C358" s="17" t="s">
        <v>125</v>
      </c>
      <c r="D358" s="17" t="s">
        <v>106</v>
      </c>
      <c r="E358" s="16" t="str">
        <f aca="false">IFERROR(INDEX(Lists!$B$2:$B$7,MATCH(B358,Lists!$A$2:$A$7,0))&amp;"-"&amp;INDEX(Series!$C$2:$C$30,MATCH(C358,Series!$B$2:$B$30,0))&amp;"-"&amp;INDEX(Part_Categories!$A$2:$A$18,MATCH(D358,Part_Categories!$B$2:$B$18,0))&amp;"-01","CHECK")</f>
        <v>MYC-WB-SAF-01</v>
      </c>
      <c r="F358" s="16" t="str">
        <f aca="false">E358&amp;".jpg"</f>
        <v>MYC-WB-SAF-01.jpg</v>
      </c>
      <c r="G358" s="18" t="str">
        <f aca="false">IFERROR(INDEX(Series!$F$2:$F$30,MATCH(C358,Series!$B$2:$B$30,0)),"")</f>
        <v>4WB, 6WB, 8WB, 12WB, 42WB, 62WB</v>
      </c>
      <c r="H358" s="19"/>
      <c r="I358" s="19"/>
      <c r="J358" s="19"/>
      <c r="K358" s="19" t="s">
        <v>70</v>
      </c>
      <c r="L358" s="19"/>
      <c r="M358" s="19"/>
      <c r="N358" s="19"/>
      <c r="O358" s="18" t="str">
        <f aca="false">C358&amp;" "&amp;D358&amp;" spare part - Efforts Engineers"</f>
        <v>Mycom WB Series Safety Head and Relief Valve spare part - Efforts Engineers</v>
      </c>
      <c r="P358" s="16" t="str">
        <f aca="false">IFERROR("/"&amp;LOWER(B358)&amp;"/"&amp;INDEX(Series!$D$2:$D$30,MATCH(C358,Series!$B$2:$B$30,0))&amp;"/"&amp;INDEX(Part_Categories!$C$2:$C$18,MATCH(D358,Part_Categories!$B$2:$B$18,0)),"CHECK")</f>
        <v>/mycom/wb-series/safety-head-and-relief-valve</v>
      </c>
      <c r="Q358" s="19"/>
    </row>
    <row r="359" customFormat="false" ht="23.85" hidden="false" customHeight="false" outlineLevel="0" collapsed="false">
      <c r="A359" s="16" t="n">
        <f aca="false">ROW()-1</f>
        <v>358</v>
      </c>
      <c r="B359" s="17" t="s">
        <v>78</v>
      </c>
      <c r="C359" s="17" t="s">
        <v>126</v>
      </c>
      <c r="D359" s="17" t="s">
        <v>58</v>
      </c>
      <c r="E359" s="16" t="str">
        <f aca="false">IFERROR(INDEX(Lists!$B$2:$B$7,MATCH(B359,Lists!$A$2:$A$7,0))&amp;"-"&amp;INDEX(Series!$C$2:$C$30,MATCH(C359,Series!$B$2:$B$30,0))&amp;"-"&amp;INDEX(Part_Categories!$A$2:$A$18,MATCH(D359,Part_Categories!$B$2:$B$18,0))&amp;"-01","CHECK")</f>
        <v>MYC-WBHE-CLN-01</v>
      </c>
      <c r="F359" s="16" t="str">
        <f aca="false">E359&amp;".jpg"</f>
        <v>MYC-WBHE-CLN-01.jpg</v>
      </c>
      <c r="G359" s="18" t="str">
        <f aca="false">IFERROR(INDEX(Series!$F$2:$F$30,MATCH(C359,Series!$B$2:$B$30,0)),"")</f>
        <v>4WBHE, 6WBHE, 8WBHE, 8WBHEH, 6WBHEU, 8WBHEU, 8WBHEHU, 42WBHE, 62WBHE</v>
      </c>
      <c r="H359" s="19"/>
      <c r="I359" s="19"/>
      <c r="J359" s="19"/>
      <c r="K359" s="19" t="s">
        <v>70</v>
      </c>
      <c r="L359" s="19"/>
      <c r="M359" s="19"/>
      <c r="N359" s="19"/>
      <c r="O359" s="18" t="str">
        <f aca="false">C359&amp;" "&amp;D359&amp;" spare part - Efforts Engineers"</f>
        <v>Mycom WBHE Series Cylinder Liner spare part - Efforts Engineers</v>
      </c>
      <c r="P359" s="16" t="str">
        <f aca="false">IFERROR("/"&amp;LOWER(B359)&amp;"/"&amp;INDEX(Series!$D$2:$D$30,MATCH(C359,Series!$B$2:$B$30,0))&amp;"/"&amp;INDEX(Part_Categories!$C$2:$C$18,MATCH(D359,Part_Categories!$B$2:$B$18,0)),"CHECK")</f>
        <v>/mycom/wbhe-series/cylinder-liner</v>
      </c>
      <c r="Q359" s="19"/>
    </row>
    <row r="360" customFormat="false" ht="23.85" hidden="false" customHeight="false" outlineLevel="0" collapsed="false">
      <c r="A360" s="16" t="n">
        <f aca="false">ROW()-1</f>
        <v>359</v>
      </c>
      <c r="B360" s="17" t="s">
        <v>78</v>
      </c>
      <c r="C360" s="17" t="s">
        <v>126</v>
      </c>
      <c r="D360" s="17" t="s">
        <v>91</v>
      </c>
      <c r="E360" s="16" t="str">
        <f aca="false">IFERROR(INDEX(Lists!$B$2:$B$7,MATCH(B360,Lists!$A$2:$A$7,0))&amp;"-"&amp;INDEX(Series!$C$2:$C$30,MATCH(C360,Series!$B$2:$B$30,0))&amp;"-"&amp;INDEX(Part_Categories!$A$2:$A$18,MATCH(D360,Part_Categories!$B$2:$B$18,0))&amp;"-01","CHECK")</f>
        <v>MYC-WBHE-PST-01</v>
      </c>
      <c r="F360" s="16" t="str">
        <f aca="false">E360&amp;".jpg"</f>
        <v>MYC-WBHE-PST-01.jpg</v>
      </c>
      <c r="G360" s="18" t="str">
        <f aca="false">IFERROR(INDEX(Series!$F$2:$F$30,MATCH(C360,Series!$B$2:$B$30,0)),"")</f>
        <v>4WBHE, 6WBHE, 8WBHE, 8WBHEH, 6WBHEU, 8WBHEU, 8WBHEHU, 42WBHE, 62WBHE</v>
      </c>
      <c r="H360" s="19"/>
      <c r="I360" s="19"/>
      <c r="J360" s="19"/>
      <c r="K360" s="19" t="s">
        <v>70</v>
      </c>
      <c r="L360" s="19"/>
      <c r="M360" s="19"/>
      <c r="N360" s="19"/>
      <c r="O360" s="18" t="str">
        <f aca="false">C360&amp;" "&amp;D360&amp;" spare part - Efforts Engineers"</f>
        <v>Mycom WBHE Series Piston Assembly spare part - Efforts Engineers</v>
      </c>
      <c r="P360" s="16" t="str">
        <f aca="false">IFERROR("/"&amp;LOWER(B360)&amp;"/"&amp;INDEX(Series!$D$2:$D$30,MATCH(C360,Series!$B$2:$B$30,0))&amp;"/"&amp;INDEX(Part_Categories!$C$2:$C$18,MATCH(D360,Part_Categories!$B$2:$B$18,0)),"CHECK")</f>
        <v>/mycom/wbhe-series/piston-assembly</v>
      </c>
      <c r="Q360" s="19"/>
    </row>
    <row r="361" customFormat="false" ht="23.85" hidden="false" customHeight="false" outlineLevel="0" collapsed="false">
      <c r="A361" s="16" t="n">
        <f aca="false">ROW()-1</f>
        <v>360</v>
      </c>
      <c r="B361" s="17" t="s">
        <v>78</v>
      </c>
      <c r="C361" s="17" t="s">
        <v>126</v>
      </c>
      <c r="D361" s="17" t="s">
        <v>92</v>
      </c>
      <c r="E361" s="16" t="str">
        <f aca="false">IFERROR(INDEX(Lists!$B$2:$B$7,MATCH(B361,Lists!$A$2:$A$7,0))&amp;"-"&amp;INDEX(Series!$C$2:$C$30,MATCH(C361,Series!$B$2:$B$30,0))&amp;"-"&amp;INDEX(Part_Categories!$A$2:$A$18,MATCH(D361,Part_Categories!$B$2:$B$18,0))&amp;"-01","CHECK")</f>
        <v>MYC-WBHE-PRG-01</v>
      </c>
      <c r="F361" s="16" t="str">
        <f aca="false">E361&amp;".jpg"</f>
        <v>MYC-WBHE-PRG-01.jpg</v>
      </c>
      <c r="G361" s="18" t="str">
        <f aca="false">IFERROR(INDEX(Series!$F$2:$F$30,MATCH(C361,Series!$B$2:$B$30,0)),"")</f>
        <v>4WBHE, 6WBHE, 8WBHE, 8WBHEH, 6WBHEU, 8WBHEU, 8WBHEHU, 42WBHE, 62WBHE</v>
      </c>
      <c r="H361" s="19"/>
      <c r="I361" s="19"/>
      <c r="J361" s="19"/>
      <c r="K361" s="19" t="s">
        <v>70</v>
      </c>
      <c r="L361" s="19"/>
      <c r="M361" s="19"/>
      <c r="N361" s="19"/>
      <c r="O361" s="18" t="str">
        <f aca="false">C361&amp;" "&amp;D361&amp;" spare part - Efforts Engineers"</f>
        <v>Mycom WBHE Series Piston Ring Set spare part - Efforts Engineers</v>
      </c>
      <c r="P361" s="16" t="str">
        <f aca="false">IFERROR("/"&amp;LOWER(B361)&amp;"/"&amp;INDEX(Series!$D$2:$D$30,MATCH(C361,Series!$B$2:$B$30,0))&amp;"/"&amp;INDEX(Part_Categories!$C$2:$C$18,MATCH(D361,Part_Categories!$B$2:$B$18,0)),"CHECK")</f>
        <v>/mycom/wbhe-series/piston-ring-set</v>
      </c>
      <c r="Q361" s="19"/>
    </row>
    <row r="362" customFormat="false" ht="23.85" hidden="false" customHeight="false" outlineLevel="0" collapsed="false">
      <c r="A362" s="16" t="n">
        <f aca="false">ROW()-1</f>
        <v>361</v>
      </c>
      <c r="B362" s="17" t="s">
        <v>78</v>
      </c>
      <c r="C362" s="17" t="s">
        <v>126</v>
      </c>
      <c r="D362" s="17" t="s">
        <v>93</v>
      </c>
      <c r="E362" s="16" t="str">
        <f aca="false">IFERROR(INDEX(Lists!$B$2:$B$7,MATCH(B362,Lists!$A$2:$A$7,0))&amp;"-"&amp;INDEX(Series!$C$2:$C$30,MATCH(C362,Series!$B$2:$B$30,0))&amp;"-"&amp;INDEX(Part_Categories!$A$2:$A$18,MATCH(D362,Part_Categories!$B$2:$B$18,0))&amp;"-01","CHECK")</f>
        <v>MYC-WBHE-CRD-01</v>
      </c>
      <c r="F362" s="16" t="str">
        <f aca="false">E362&amp;".jpg"</f>
        <v>MYC-WBHE-CRD-01.jpg</v>
      </c>
      <c r="G362" s="18" t="str">
        <f aca="false">IFERROR(INDEX(Series!$F$2:$F$30,MATCH(C362,Series!$B$2:$B$30,0)),"")</f>
        <v>4WBHE, 6WBHE, 8WBHE, 8WBHEH, 6WBHEU, 8WBHEU, 8WBHEHU, 42WBHE, 62WBHE</v>
      </c>
      <c r="H362" s="19"/>
      <c r="I362" s="19"/>
      <c r="J362" s="19"/>
      <c r="K362" s="19" t="s">
        <v>70</v>
      </c>
      <c r="L362" s="19"/>
      <c r="M362" s="19"/>
      <c r="N362" s="19"/>
      <c r="O362" s="18" t="str">
        <f aca="false">C362&amp;" "&amp;D362&amp;" spare part - Efforts Engineers"</f>
        <v>Mycom WBHE Series Connecting Rod spare part - Efforts Engineers</v>
      </c>
      <c r="P362" s="16" t="str">
        <f aca="false">IFERROR("/"&amp;LOWER(B362)&amp;"/"&amp;INDEX(Series!$D$2:$D$30,MATCH(C362,Series!$B$2:$B$30,0))&amp;"/"&amp;INDEX(Part_Categories!$C$2:$C$18,MATCH(D362,Part_Categories!$B$2:$B$18,0)),"CHECK")</f>
        <v>/mycom/wbhe-series/connecting-rod</v>
      </c>
      <c r="Q362" s="19"/>
    </row>
    <row r="363" customFormat="false" ht="23.85" hidden="false" customHeight="false" outlineLevel="0" collapsed="false">
      <c r="A363" s="16" t="n">
        <f aca="false">ROW()-1</f>
        <v>362</v>
      </c>
      <c r="B363" s="17" t="s">
        <v>78</v>
      </c>
      <c r="C363" s="17" t="s">
        <v>126</v>
      </c>
      <c r="D363" s="17" t="s">
        <v>94</v>
      </c>
      <c r="E363" s="16" t="str">
        <f aca="false">IFERROR(INDEX(Lists!$B$2:$B$7,MATCH(B363,Lists!$A$2:$A$7,0))&amp;"-"&amp;INDEX(Series!$C$2:$C$30,MATCH(C363,Series!$B$2:$B$30,0))&amp;"-"&amp;INDEX(Part_Categories!$A$2:$A$18,MATCH(D363,Part_Categories!$B$2:$B$18,0))&amp;"-01","CHECK")</f>
        <v>MYC-WBHE-CRK-01</v>
      </c>
      <c r="F363" s="16" t="str">
        <f aca="false">E363&amp;".jpg"</f>
        <v>MYC-WBHE-CRK-01.jpg</v>
      </c>
      <c r="G363" s="18" t="str">
        <f aca="false">IFERROR(INDEX(Series!$F$2:$F$30,MATCH(C363,Series!$B$2:$B$30,0)),"")</f>
        <v>4WBHE, 6WBHE, 8WBHE, 8WBHEH, 6WBHEU, 8WBHEU, 8WBHEHU, 42WBHE, 62WBHE</v>
      </c>
      <c r="H363" s="19"/>
      <c r="I363" s="19"/>
      <c r="J363" s="19"/>
      <c r="K363" s="19" t="s">
        <v>70</v>
      </c>
      <c r="L363" s="19"/>
      <c r="M363" s="19"/>
      <c r="N363" s="19"/>
      <c r="O363" s="18" t="str">
        <f aca="false">C363&amp;" "&amp;D363&amp;" spare part - Efforts Engineers"</f>
        <v>Mycom WBHE Series Crankshaft spare part - Efforts Engineers</v>
      </c>
      <c r="P363" s="16" t="str">
        <f aca="false">IFERROR("/"&amp;LOWER(B363)&amp;"/"&amp;INDEX(Series!$D$2:$D$30,MATCH(C363,Series!$B$2:$B$30,0))&amp;"/"&amp;INDEX(Part_Categories!$C$2:$C$18,MATCH(D363,Part_Categories!$B$2:$B$18,0)),"CHECK")</f>
        <v>/mycom/wbhe-series/crankshaft</v>
      </c>
      <c r="Q363" s="19"/>
    </row>
    <row r="364" customFormat="false" ht="23.85" hidden="false" customHeight="false" outlineLevel="0" collapsed="false">
      <c r="A364" s="16" t="n">
        <f aca="false">ROW()-1</f>
        <v>363</v>
      </c>
      <c r="B364" s="17" t="s">
        <v>78</v>
      </c>
      <c r="C364" s="17" t="s">
        <v>126</v>
      </c>
      <c r="D364" s="17" t="s">
        <v>95</v>
      </c>
      <c r="E364" s="16" t="str">
        <f aca="false">IFERROR(INDEX(Lists!$B$2:$B$7,MATCH(B364,Lists!$A$2:$A$7,0))&amp;"-"&amp;INDEX(Series!$C$2:$C$30,MATCH(C364,Series!$B$2:$B$30,0))&amp;"-"&amp;INDEX(Part_Categories!$A$2:$A$18,MATCH(D364,Part_Categories!$B$2:$B$18,0))&amp;"-01","CHECK")</f>
        <v>MYC-WBHE-PIN-01</v>
      </c>
      <c r="F364" s="16" t="str">
        <f aca="false">E364&amp;".jpg"</f>
        <v>MYC-WBHE-PIN-01.jpg</v>
      </c>
      <c r="G364" s="18" t="str">
        <f aca="false">IFERROR(INDEX(Series!$F$2:$F$30,MATCH(C364,Series!$B$2:$B$30,0)),"")</f>
        <v>4WBHE, 6WBHE, 8WBHE, 8WBHEH, 6WBHEU, 8WBHEU, 8WBHEHU, 42WBHE, 62WBHE</v>
      </c>
      <c r="H364" s="19"/>
      <c r="I364" s="19"/>
      <c r="J364" s="19"/>
      <c r="K364" s="19" t="s">
        <v>70</v>
      </c>
      <c r="L364" s="19"/>
      <c r="M364" s="19"/>
      <c r="N364" s="19"/>
      <c r="O364" s="18" t="str">
        <f aca="false">C364&amp;" "&amp;D364&amp;" spare part - Efforts Engineers"</f>
        <v>Mycom WBHE Series Gudgeon Pin and Bush spare part - Efforts Engineers</v>
      </c>
      <c r="P364" s="16" t="str">
        <f aca="false">IFERROR("/"&amp;LOWER(B364)&amp;"/"&amp;INDEX(Series!$D$2:$D$30,MATCH(C364,Series!$B$2:$B$30,0))&amp;"/"&amp;INDEX(Part_Categories!$C$2:$C$18,MATCH(D364,Part_Categories!$B$2:$B$18,0)),"CHECK")</f>
        <v>/mycom/wbhe-series/gudgeon-pin-and-bush</v>
      </c>
      <c r="Q364" s="19"/>
    </row>
    <row r="365" customFormat="false" ht="23.85" hidden="false" customHeight="false" outlineLevel="0" collapsed="false">
      <c r="A365" s="16" t="n">
        <f aca="false">ROW()-1</f>
        <v>364</v>
      </c>
      <c r="B365" s="17" t="s">
        <v>78</v>
      </c>
      <c r="C365" s="17" t="s">
        <v>126</v>
      </c>
      <c r="D365" s="17" t="s">
        <v>96</v>
      </c>
      <c r="E365" s="16" t="str">
        <f aca="false">IFERROR(INDEX(Lists!$B$2:$B$7,MATCH(B365,Lists!$A$2:$A$7,0))&amp;"-"&amp;INDEX(Series!$C$2:$C$30,MATCH(C365,Series!$B$2:$B$30,0))&amp;"-"&amp;INDEX(Part_Categories!$A$2:$A$18,MATCH(D365,Part_Categories!$B$2:$B$18,0))&amp;"-01","CHECK")</f>
        <v>MYC-WBHE-BRG-01</v>
      </c>
      <c r="F365" s="16" t="str">
        <f aca="false">E365&amp;".jpg"</f>
        <v>MYC-WBHE-BRG-01.jpg</v>
      </c>
      <c r="G365" s="18" t="str">
        <f aca="false">IFERROR(INDEX(Series!$F$2:$F$30,MATCH(C365,Series!$B$2:$B$30,0)),"")</f>
        <v>4WBHE, 6WBHE, 8WBHE, 8WBHEH, 6WBHEU, 8WBHEU, 8WBHEHU, 42WBHE, 62WBHE</v>
      </c>
      <c r="H365" s="19"/>
      <c r="I365" s="19"/>
      <c r="J365" s="19"/>
      <c r="K365" s="19" t="s">
        <v>70</v>
      </c>
      <c r="L365" s="19"/>
      <c r="M365" s="19"/>
      <c r="N365" s="19"/>
      <c r="O365" s="18" t="str">
        <f aca="false">C365&amp;" "&amp;D365&amp;" spare part - Efforts Engineers"</f>
        <v>Mycom WBHE Series Main Bearing and Bush spare part - Efforts Engineers</v>
      </c>
      <c r="P365" s="16" t="str">
        <f aca="false">IFERROR("/"&amp;LOWER(B365)&amp;"/"&amp;INDEX(Series!$D$2:$D$30,MATCH(C365,Series!$B$2:$B$30,0))&amp;"/"&amp;INDEX(Part_Categories!$C$2:$C$18,MATCH(D365,Part_Categories!$B$2:$B$18,0)),"CHECK")</f>
        <v>/mycom/wbhe-series/main-bearing-and-bush</v>
      </c>
      <c r="Q365" s="19"/>
    </row>
    <row r="366" customFormat="false" ht="23.85" hidden="false" customHeight="false" outlineLevel="0" collapsed="false">
      <c r="A366" s="16" t="n">
        <f aca="false">ROW()-1</f>
        <v>365</v>
      </c>
      <c r="B366" s="17" t="s">
        <v>78</v>
      </c>
      <c r="C366" s="17" t="s">
        <v>126</v>
      </c>
      <c r="D366" s="17" t="s">
        <v>97</v>
      </c>
      <c r="E366" s="16" t="str">
        <f aca="false">IFERROR(INDEX(Lists!$B$2:$B$7,MATCH(B366,Lists!$A$2:$A$7,0))&amp;"-"&amp;INDEX(Series!$C$2:$C$30,MATCH(C366,Series!$B$2:$B$30,0))&amp;"-"&amp;INDEX(Part_Categories!$A$2:$A$18,MATCH(D366,Part_Categories!$B$2:$B$18,0))&amp;"-01","CHECK")</f>
        <v>MYC-WBHE-SVP-01</v>
      </c>
      <c r="F366" s="16" t="str">
        <f aca="false">E366&amp;".jpg"</f>
        <v>MYC-WBHE-SVP-01.jpg</v>
      </c>
      <c r="G366" s="18" t="str">
        <f aca="false">IFERROR(INDEX(Series!$F$2:$F$30,MATCH(C366,Series!$B$2:$B$30,0)),"")</f>
        <v>4WBHE, 6WBHE, 8WBHE, 8WBHEH, 6WBHEU, 8WBHEU, 8WBHEHU, 42WBHE, 62WBHE</v>
      </c>
      <c r="H366" s="19"/>
      <c r="I366" s="19"/>
      <c r="J366" s="19"/>
      <c r="K366" s="19" t="s">
        <v>70</v>
      </c>
      <c r="L366" s="19"/>
      <c r="M366" s="19"/>
      <c r="N366" s="19"/>
      <c r="O366" s="18" t="str">
        <f aca="false">C366&amp;" "&amp;D366&amp;" spare part - Efforts Engineers"</f>
        <v>Mycom WBHE Series Suction Valve Plate spare part - Efforts Engineers</v>
      </c>
      <c r="P366" s="16" t="str">
        <f aca="false">IFERROR("/"&amp;LOWER(B366)&amp;"/"&amp;INDEX(Series!$D$2:$D$30,MATCH(C366,Series!$B$2:$B$30,0))&amp;"/"&amp;INDEX(Part_Categories!$C$2:$C$18,MATCH(D366,Part_Categories!$B$2:$B$18,0)),"CHECK")</f>
        <v>/mycom/wbhe-series/suction-valve-plate</v>
      </c>
      <c r="Q366" s="19"/>
    </row>
    <row r="367" customFormat="false" ht="23.85" hidden="false" customHeight="false" outlineLevel="0" collapsed="false">
      <c r="A367" s="16" t="n">
        <f aca="false">ROW()-1</f>
        <v>366</v>
      </c>
      <c r="B367" s="17" t="s">
        <v>78</v>
      </c>
      <c r="C367" s="17" t="s">
        <v>126</v>
      </c>
      <c r="D367" s="17" t="s">
        <v>98</v>
      </c>
      <c r="E367" s="16" t="str">
        <f aca="false">IFERROR(INDEX(Lists!$B$2:$B$7,MATCH(B367,Lists!$A$2:$A$7,0))&amp;"-"&amp;INDEX(Series!$C$2:$C$30,MATCH(C367,Series!$B$2:$B$30,0))&amp;"-"&amp;INDEX(Part_Categories!$A$2:$A$18,MATCH(D367,Part_Categories!$B$2:$B$18,0))&amp;"-01","CHECK")</f>
        <v>MYC-WBHE-DVA-01</v>
      </c>
      <c r="F367" s="16" t="str">
        <f aca="false">E367&amp;".jpg"</f>
        <v>MYC-WBHE-DVA-01.jpg</v>
      </c>
      <c r="G367" s="18" t="str">
        <f aca="false">IFERROR(INDEX(Series!$F$2:$F$30,MATCH(C367,Series!$B$2:$B$30,0)),"")</f>
        <v>4WBHE, 6WBHE, 8WBHE, 8WBHEH, 6WBHEU, 8WBHEU, 8WBHEHU, 42WBHE, 62WBHE</v>
      </c>
      <c r="H367" s="19"/>
      <c r="I367" s="19"/>
      <c r="J367" s="19"/>
      <c r="K367" s="19" t="s">
        <v>70</v>
      </c>
      <c r="L367" s="19"/>
      <c r="M367" s="19"/>
      <c r="N367" s="19"/>
      <c r="O367" s="18" t="str">
        <f aca="false">C367&amp;" "&amp;D367&amp;" spare part - Efforts Engineers"</f>
        <v>Mycom WBHE Series Discharge Valve Assembly spare part - Efforts Engineers</v>
      </c>
      <c r="P367" s="16" t="str">
        <f aca="false">IFERROR("/"&amp;LOWER(B367)&amp;"/"&amp;INDEX(Series!$D$2:$D$30,MATCH(C367,Series!$B$2:$B$30,0))&amp;"/"&amp;INDEX(Part_Categories!$C$2:$C$18,MATCH(D367,Part_Categories!$B$2:$B$18,0)),"CHECK")</f>
        <v>/mycom/wbhe-series/discharge-valve-assembly</v>
      </c>
      <c r="Q367" s="19"/>
    </row>
    <row r="368" customFormat="false" ht="23.85" hidden="false" customHeight="false" outlineLevel="0" collapsed="false">
      <c r="A368" s="16" t="n">
        <f aca="false">ROW()-1</f>
        <v>367</v>
      </c>
      <c r="B368" s="17" t="s">
        <v>78</v>
      </c>
      <c r="C368" s="17" t="s">
        <v>126</v>
      </c>
      <c r="D368" s="17" t="s">
        <v>99</v>
      </c>
      <c r="E368" s="16" t="str">
        <f aca="false">IFERROR(INDEX(Lists!$B$2:$B$7,MATCH(B368,Lists!$A$2:$A$7,0))&amp;"-"&amp;INDEX(Series!$C$2:$C$30,MATCH(C368,Series!$B$2:$B$30,0))&amp;"-"&amp;INDEX(Part_Categories!$A$2:$A$18,MATCH(D368,Part_Categories!$B$2:$B$18,0))&amp;"-01","CHECK")</f>
        <v>MYC-WBHE-VSP-01</v>
      </c>
      <c r="F368" s="16" t="str">
        <f aca="false">E368&amp;".jpg"</f>
        <v>MYC-WBHE-VSP-01.jpg</v>
      </c>
      <c r="G368" s="18" t="str">
        <f aca="false">IFERROR(INDEX(Series!$F$2:$F$30,MATCH(C368,Series!$B$2:$B$30,0)),"")</f>
        <v>4WBHE, 6WBHE, 8WBHE, 8WBHEH, 6WBHEU, 8WBHEU, 8WBHEHU, 42WBHE, 62WBHE</v>
      </c>
      <c r="H368" s="19"/>
      <c r="I368" s="19"/>
      <c r="J368" s="19"/>
      <c r="K368" s="19" t="s">
        <v>70</v>
      </c>
      <c r="L368" s="19"/>
      <c r="M368" s="19"/>
      <c r="N368" s="19"/>
      <c r="O368" s="18" t="str">
        <f aca="false">C368&amp;" "&amp;D368&amp;" spare part - Efforts Engineers"</f>
        <v>Mycom WBHE Series Valve Spring and Cage spare part - Efforts Engineers</v>
      </c>
      <c r="P368" s="16" t="str">
        <f aca="false">IFERROR("/"&amp;LOWER(B368)&amp;"/"&amp;INDEX(Series!$D$2:$D$30,MATCH(C368,Series!$B$2:$B$30,0))&amp;"/"&amp;INDEX(Part_Categories!$C$2:$C$18,MATCH(D368,Part_Categories!$B$2:$B$18,0)),"CHECK")</f>
        <v>/mycom/wbhe-series/valve-spring-and-cage</v>
      </c>
      <c r="Q368" s="19"/>
    </row>
    <row r="369" customFormat="false" ht="23.85" hidden="false" customHeight="false" outlineLevel="0" collapsed="false">
      <c r="A369" s="16" t="n">
        <f aca="false">ROW()-1</f>
        <v>368</v>
      </c>
      <c r="B369" s="17" t="s">
        <v>78</v>
      </c>
      <c r="C369" s="17" t="s">
        <v>126</v>
      </c>
      <c r="D369" s="17" t="s">
        <v>100</v>
      </c>
      <c r="E369" s="16" t="str">
        <f aca="false">IFERROR(INDEX(Lists!$B$2:$B$7,MATCH(B369,Lists!$A$2:$A$7,0))&amp;"-"&amp;INDEX(Series!$C$2:$C$30,MATCH(C369,Series!$B$2:$B$30,0))&amp;"-"&amp;INDEX(Part_Categories!$A$2:$A$18,MATCH(D369,Part_Categories!$B$2:$B$18,0))&amp;"-01","CHECK")</f>
        <v>MYC-WBHE-HDC-01</v>
      </c>
      <c r="F369" s="16" t="str">
        <f aca="false">E369&amp;".jpg"</f>
        <v>MYC-WBHE-HDC-01.jpg</v>
      </c>
      <c r="G369" s="18" t="str">
        <f aca="false">IFERROR(INDEX(Series!$F$2:$F$30,MATCH(C369,Series!$B$2:$B$30,0)),"")</f>
        <v>4WBHE, 6WBHE, 8WBHE, 8WBHEH, 6WBHEU, 8WBHEU, 8WBHEHU, 42WBHE, 62WBHE</v>
      </c>
      <c r="H369" s="19"/>
      <c r="I369" s="19"/>
      <c r="J369" s="19"/>
      <c r="K369" s="19" t="s">
        <v>70</v>
      </c>
      <c r="L369" s="19"/>
      <c r="M369" s="19"/>
      <c r="N369" s="19"/>
      <c r="O369" s="18" t="str">
        <f aca="false">C369&amp;" "&amp;D369&amp;" spare part - Efforts Engineers"</f>
        <v>Mycom WBHE Series Cylinder Head Cover spare part - Efforts Engineers</v>
      </c>
      <c r="P369" s="16" t="str">
        <f aca="false">IFERROR("/"&amp;LOWER(B369)&amp;"/"&amp;INDEX(Series!$D$2:$D$30,MATCH(C369,Series!$B$2:$B$30,0))&amp;"/"&amp;INDEX(Part_Categories!$C$2:$C$18,MATCH(D369,Part_Categories!$B$2:$B$18,0)),"CHECK")</f>
        <v>/mycom/wbhe-series/cylinder-head-cover</v>
      </c>
      <c r="Q369" s="19"/>
    </row>
    <row r="370" customFormat="false" ht="23.85" hidden="false" customHeight="false" outlineLevel="0" collapsed="false">
      <c r="A370" s="16" t="n">
        <f aca="false">ROW()-1</f>
        <v>369</v>
      </c>
      <c r="B370" s="17" t="s">
        <v>78</v>
      </c>
      <c r="C370" s="17" t="s">
        <v>126</v>
      </c>
      <c r="D370" s="17" t="s">
        <v>101</v>
      </c>
      <c r="E370" s="16" t="str">
        <f aca="false">IFERROR(INDEX(Lists!$B$2:$B$7,MATCH(B370,Lists!$A$2:$A$7,0))&amp;"-"&amp;INDEX(Series!$C$2:$C$30,MATCH(C370,Series!$B$2:$B$30,0))&amp;"-"&amp;INDEX(Part_Categories!$A$2:$A$18,MATCH(D370,Part_Categories!$B$2:$B$18,0))&amp;"-01","CHECK")</f>
        <v>MYC-WBHE-GSK-01</v>
      </c>
      <c r="F370" s="16" t="str">
        <f aca="false">E370&amp;".jpg"</f>
        <v>MYC-WBHE-GSK-01.jpg</v>
      </c>
      <c r="G370" s="18" t="str">
        <f aca="false">IFERROR(INDEX(Series!$F$2:$F$30,MATCH(C370,Series!$B$2:$B$30,0)),"")</f>
        <v>4WBHE, 6WBHE, 8WBHE, 8WBHEH, 6WBHEU, 8WBHEU, 8WBHEHU, 42WBHE, 62WBHE</v>
      </c>
      <c r="H370" s="19"/>
      <c r="I370" s="19"/>
      <c r="J370" s="19"/>
      <c r="K370" s="19" t="s">
        <v>70</v>
      </c>
      <c r="L370" s="19"/>
      <c r="M370" s="19"/>
      <c r="N370" s="19"/>
      <c r="O370" s="18" t="str">
        <f aca="false">C370&amp;" "&amp;D370&amp;" spare part - Efforts Engineers"</f>
        <v>Mycom WBHE Series Gasket and Overhaul Kit spare part - Efforts Engineers</v>
      </c>
      <c r="P370" s="16" t="str">
        <f aca="false">IFERROR("/"&amp;LOWER(B370)&amp;"/"&amp;INDEX(Series!$D$2:$D$30,MATCH(C370,Series!$B$2:$B$30,0))&amp;"/"&amp;INDEX(Part_Categories!$C$2:$C$18,MATCH(D370,Part_Categories!$B$2:$B$18,0)),"CHECK")</f>
        <v>/mycom/wbhe-series/gasket-and-overhaul-kit</v>
      </c>
      <c r="Q370" s="19"/>
    </row>
    <row r="371" customFormat="false" ht="23.85" hidden="false" customHeight="false" outlineLevel="0" collapsed="false">
      <c r="A371" s="16" t="n">
        <f aca="false">ROW()-1</f>
        <v>370</v>
      </c>
      <c r="B371" s="17" t="s">
        <v>78</v>
      </c>
      <c r="C371" s="17" t="s">
        <v>126</v>
      </c>
      <c r="D371" s="17" t="s">
        <v>102</v>
      </c>
      <c r="E371" s="16" t="str">
        <f aca="false">IFERROR(INDEX(Lists!$B$2:$B$7,MATCH(B371,Lists!$A$2:$A$7,0))&amp;"-"&amp;INDEX(Series!$C$2:$C$30,MATCH(C371,Series!$B$2:$B$30,0))&amp;"-"&amp;INDEX(Part_Categories!$A$2:$A$18,MATCH(D371,Part_Categories!$B$2:$B$18,0))&amp;"-01","CHECK")</f>
        <v>MYC-WBHE-OPA-01</v>
      </c>
      <c r="F371" s="16" t="str">
        <f aca="false">E371&amp;".jpg"</f>
        <v>MYC-WBHE-OPA-01.jpg</v>
      </c>
      <c r="G371" s="18" t="str">
        <f aca="false">IFERROR(INDEX(Series!$F$2:$F$30,MATCH(C371,Series!$B$2:$B$30,0)),"")</f>
        <v>4WBHE, 6WBHE, 8WBHE, 8WBHEH, 6WBHEU, 8WBHEU, 8WBHEHU, 42WBHE, 62WBHE</v>
      </c>
      <c r="H371" s="19"/>
      <c r="I371" s="19"/>
      <c r="J371" s="19"/>
      <c r="K371" s="19" t="s">
        <v>70</v>
      </c>
      <c r="L371" s="19"/>
      <c r="M371" s="19"/>
      <c r="N371" s="19"/>
      <c r="O371" s="18" t="str">
        <f aca="false">C371&amp;" "&amp;D371&amp;" spare part - Efforts Engineers"</f>
        <v>Mycom WBHE Series Oil Pump Assembly spare part - Efforts Engineers</v>
      </c>
      <c r="P371" s="16" t="str">
        <f aca="false">IFERROR("/"&amp;LOWER(B371)&amp;"/"&amp;INDEX(Series!$D$2:$D$30,MATCH(C371,Series!$B$2:$B$30,0))&amp;"/"&amp;INDEX(Part_Categories!$C$2:$C$18,MATCH(D371,Part_Categories!$B$2:$B$18,0)),"CHECK")</f>
        <v>/mycom/wbhe-series/oil-pump-assembly</v>
      </c>
      <c r="Q371" s="19"/>
    </row>
    <row r="372" customFormat="false" ht="23.85" hidden="false" customHeight="false" outlineLevel="0" collapsed="false">
      <c r="A372" s="16" t="n">
        <f aca="false">ROW()-1</f>
        <v>371</v>
      </c>
      <c r="B372" s="17" t="s">
        <v>78</v>
      </c>
      <c r="C372" s="17" t="s">
        <v>126</v>
      </c>
      <c r="D372" s="17" t="s">
        <v>103</v>
      </c>
      <c r="E372" s="16" t="str">
        <f aca="false">IFERROR(INDEX(Lists!$B$2:$B$7,MATCH(B372,Lists!$A$2:$A$7,0))&amp;"-"&amp;INDEX(Series!$C$2:$C$30,MATCH(C372,Series!$B$2:$B$30,0))&amp;"-"&amp;INDEX(Part_Categories!$A$2:$A$18,MATCH(D372,Part_Categories!$B$2:$B$18,0))&amp;"-01","CHECK")</f>
        <v>MYC-WBHE-SHS-01</v>
      </c>
      <c r="F372" s="16" t="str">
        <f aca="false">E372&amp;".jpg"</f>
        <v>MYC-WBHE-SHS-01.jpg</v>
      </c>
      <c r="G372" s="18" t="str">
        <f aca="false">IFERROR(INDEX(Series!$F$2:$F$30,MATCH(C372,Series!$B$2:$B$30,0)),"")</f>
        <v>4WBHE, 6WBHE, 8WBHE, 8WBHEH, 6WBHEU, 8WBHEU, 8WBHEHU, 42WBHE, 62WBHE</v>
      </c>
      <c r="H372" s="19"/>
      <c r="I372" s="19"/>
      <c r="J372" s="19"/>
      <c r="K372" s="19" t="s">
        <v>70</v>
      </c>
      <c r="L372" s="19"/>
      <c r="M372" s="19"/>
      <c r="N372" s="19"/>
      <c r="O372" s="18" t="str">
        <f aca="false">C372&amp;" "&amp;D372&amp;" spare part - Efforts Engineers"</f>
        <v>Mycom WBHE Series Shaft Seal spare part - Efforts Engineers</v>
      </c>
      <c r="P372" s="16" t="str">
        <f aca="false">IFERROR("/"&amp;LOWER(B372)&amp;"/"&amp;INDEX(Series!$D$2:$D$30,MATCH(C372,Series!$B$2:$B$30,0))&amp;"/"&amp;INDEX(Part_Categories!$C$2:$C$18,MATCH(D372,Part_Categories!$B$2:$B$18,0)),"CHECK")</f>
        <v>/mycom/wbhe-series/shaft-seal</v>
      </c>
      <c r="Q372" s="19"/>
    </row>
    <row r="373" customFormat="false" ht="23.85" hidden="false" customHeight="false" outlineLevel="0" collapsed="false">
      <c r="A373" s="16" t="n">
        <f aca="false">ROW()-1</f>
        <v>372</v>
      </c>
      <c r="B373" s="17" t="s">
        <v>78</v>
      </c>
      <c r="C373" s="17" t="s">
        <v>126</v>
      </c>
      <c r="D373" s="17" t="s">
        <v>104</v>
      </c>
      <c r="E373" s="16" t="str">
        <f aca="false">IFERROR(INDEX(Lists!$B$2:$B$7,MATCH(B373,Lists!$A$2:$A$7,0))&amp;"-"&amp;INDEX(Series!$C$2:$C$30,MATCH(C373,Series!$B$2:$B$30,0))&amp;"-"&amp;INDEX(Part_Categories!$A$2:$A$18,MATCH(D373,Part_Categories!$B$2:$B$18,0))&amp;"-01","CHECK")</f>
        <v>MYC-WBHE-FLT-01</v>
      </c>
      <c r="F373" s="16" t="str">
        <f aca="false">E373&amp;".jpg"</f>
        <v>MYC-WBHE-FLT-01.jpg</v>
      </c>
      <c r="G373" s="18" t="str">
        <f aca="false">IFERROR(INDEX(Series!$F$2:$F$30,MATCH(C373,Series!$B$2:$B$30,0)),"")</f>
        <v>4WBHE, 6WBHE, 8WBHE, 8WBHEH, 6WBHEU, 8WBHEU, 8WBHEHU, 42WBHE, 62WBHE</v>
      </c>
      <c r="H373" s="19"/>
      <c r="I373" s="19"/>
      <c r="J373" s="19"/>
      <c r="K373" s="19" t="s">
        <v>70</v>
      </c>
      <c r="L373" s="19"/>
      <c r="M373" s="19"/>
      <c r="N373" s="19"/>
      <c r="O373" s="18" t="str">
        <f aca="false">C373&amp;" "&amp;D373&amp;" spare part - Efforts Engineers"</f>
        <v>Mycom WBHE Series Oil Filter and Strainer spare part - Efforts Engineers</v>
      </c>
      <c r="P373" s="16" t="str">
        <f aca="false">IFERROR("/"&amp;LOWER(B373)&amp;"/"&amp;INDEX(Series!$D$2:$D$30,MATCH(C373,Series!$B$2:$B$30,0))&amp;"/"&amp;INDEX(Part_Categories!$C$2:$C$18,MATCH(D373,Part_Categories!$B$2:$B$18,0)),"CHECK")</f>
        <v>/mycom/wbhe-series/oil-filter-and-strainer</v>
      </c>
      <c r="Q373" s="19"/>
    </row>
    <row r="374" customFormat="false" ht="23.85" hidden="false" customHeight="false" outlineLevel="0" collapsed="false">
      <c r="A374" s="16" t="n">
        <f aca="false">ROW()-1</f>
        <v>373</v>
      </c>
      <c r="B374" s="17" t="s">
        <v>78</v>
      </c>
      <c r="C374" s="17" t="s">
        <v>126</v>
      </c>
      <c r="D374" s="17" t="s">
        <v>105</v>
      </c>
      <c r="E374" s="16" t="str">
        <f aca="false">IFERROR(INDEX(Lists!$B$2:$B$7,MATCH(B374,Lists!$A$2:$A$7,0))&amp;"-"&amp;INDEX(Series!$C$2:$C$30,MATCH(C374,Series!$B$2:$B$30,0))&amp;"-"&amp;INDEX(Part_Categories!$A$2:$A$18,MATCH(D374,Part_Categories!$B$2:$B$18,0))&amp;"-01","CHECK")</f>
        <v>MYC-WBHE-ULD-01</v>
      </c>
      <c r="F374" s="16" t="str">
        <f aca="false">E374&amp;".jpg"</f>
        <v>MYC-WBHE-ULD-01.jpg</v>
      </c>
      <c r="G374" s="18" t="str">
        <f aca="false">IFERROR(INDEX(Series!$F$2:$F$30,MATCH(C374,Series!$B$2:$B$30,0)),"")</f>
        <v>4WBHE, 6WBHE, 8WBHE, 8WBHEH, 6WBHEU, 8WBHEU, 8WBHEHU, 42WBHE, 62WBHE</v>
      </c>
      <c r="H374" s="19"/>
      <c r="I374" s="19"/>
      <c r="J374" s="19"/>
      <c r="K374" s="19" t="s">
        <v>70</v>
      </c>
      <c r="L374" s="19"/>
      <c r="M374" s="19"/>
      <c r="N374" s="19"/>
      <c r="O374" s="18" t="str">
        <f aca="false">C374&amp;" "&amp;D374&amp;" spare part - Efforts Engineers"</f>
        <v>Mycom WBHE Series Unloader and Capacity Control spare part - Efforts Engineers</v>
      </c>
      <c r="P374" s="16" t="str">
        <f aca="false">IFERROR("/"&amp;LOWER(B374)&amp;"/"&amp;INDEX(Series!$D$2:$D$30,MATCH(C374,Series!$B$2:$B$30,0))&amp;"/"&amp;INDEX(Part_Categories!$C$2:$C$18,MATCH(D374,Part_Categories!$B$2:$B$18,0)),"CHECK")</f>
        <v>/mycom/wbhe-series/unloader-and-capacity-control</v>
      </c>
      <c r="Q374" s="19"/>
    </row>
    <row r="375" customFormat="false" ht="23.85" hidden="false" customHeight="false" outlineLevel="0" collapsed="false">
      <c r="A375" s="16" t="n">
        <f aca="false">ROW()-1</f>
        <v>374</v>
      </c>
      <c r="B375" s="17" t="s">
        <v>78</v>
      </c>
      <c r="C375" s="17" t="s">
        <v>126</v>
      </c>
      <c r="D375" s="17" t="s">
        <v>106</v>
      </c>
      <c r="E375" s="16" t="str">
        <f aca="false">IFERROR(INDEX(Lists!$B$2:$B$7,MATCH(B375,Lists!$A$2:$A$7,0))&amp;"-"&amp;INDEX(Series!$C$2:$C$30,MATCH(C375,Series!$B$2:$B$30,0))&amp;"-"&amp;INDEX(Part_Categories!$A$2:$A$18,MATCH(D375,Part_Categories!$B$2:$B$18,0))&amp;"-01","CHECK")</f>
        <v>MYC-WBHE-SAF-01</v>
      </c>
      <c r="F375" s="16" t="str">
        <f aca="false">E375&amp;".jpg"</f>
        <v>MYC-WBHE-SAF-01.jpg</v>
      </c>
      <c r="G375" s="18" t="str">
        <f aca="false">IFERROR(INDEX(Series!$F$2:$F$30,MATCH(C375,Series!$B$2:$B$30,0)),"")</f>
        <v>4WBHE, 6WBHE, 8WBHE, 8WBHEH, 6WBHEU, 8WBHEU, 8WBHEHU, 42WBHE, 62WBHE</v>
      </c>
      <c r="H375" s="19"/>
      <c r="I375" s="19"/>
      <c r="J375" s="19"/>
      <c r="K375" s="19" t="s">
        <v>70</v>
      </c>
      <c r="L375" s="19"/>
      <c r="M375" s="19"/>
      <c r="N375" s="19"/>
      <c r="O375" s="18" t="str">
        <f aca="false">C375&amp;" "&amp;D375&amp;" spare part - Efforts Engineers"</f>
        <v>Mycom WBHE Series Safety Head and Relief Valve spare part - Efforts Engineers</v>
      </c>
      <c r="P375" s="16" t="str">
        <f aca="false">IFERROR("/"&amp;LOWER(B375)&amp;"/"&amp;INDEX(Series!$D$2:$D$30,MATCH(C375,Series!$B$2:$B$30,0))&amp;"/"&amp;INDEX(Part_Categories!$C$2:$C$18,MATCH(D375,Part_Categories!$B$2:$B$18,0)),"CHECK")</f>
        <v>/mycom/wbhe-series/safety-head-and-relief-valve</v>
      </c>
      <c r="Q375" s="19"/>
    </row>
    <row r="376" customFormat="false" ht="23.85" hidden="false" customHeight="false" outlineLevel="0" collapsed="false">
      <c r="A376" s="16" t="n">
        <f aca="false">ROW()-1</f>
        <v>375</v>
      </c>
      <c r="B376" s="17" t="s">
        <v>78</v>
      </c>
      <c r="C376" s="17" t="s">
        <v>127</v>
      </c>
      <c r="D376" s="17" t="s">
        <v>58</v>
      </c>
      <c r="E376" s="16" t="str">
        <f aca="false">IFERROR(INDEX(Lists!$B$2:$B$7,MATCH(B376,Lists!$A$2:$A$7,0))&amp;"-"&amp;INDEX(Series!$C$2:$C$30,MATCH(C376,Series!$B$2:$B$30,0))&amp;"-"&amp;INDEX(Part_Categories!$A$2:$A$18,MATCH(D376,Part_Categories!$B$2:$B$18,0))&amp;"-01","CHECK")</f>
        <v>MYC-L-CLN-01</v>
      </c>
      <c r="F376" s="16" t="str">
        <f aca="false">E376&amp;".jpg"</f>
        <v>MYC-L-CLN-01.jpg</v>
      </c>
      <c r="G376" s="18" t="str">
        <f aca="false">IFERROR(INDEX(Series!$F$2:$F$30,MATCH(C376,Series!$B$2:$B$30,0)),"")</f>
        <v>4L, 6L, 8L</v>
      </c>
      <c r="H376" s="19"/>
      <c r="I376" s="19"/>
      <c r="J376" s="19"/>
      <c r="K376" s="19" t="s">
        <v>70</v>
      </c>
      <c r="L376" s="19"/>
      <c r="M376" s="19"/>
      <c r="N376" s="19"/>
      <c r="O376" s="18" t="str">
        <f aca="false">C376&amp;" "&amp;D376&amp;" spare part - Efforts Engineers"</f>
        <v>Mycom L Series Cylinder Liner spare part - Efforts Engineers</v>
      </c>
      <c r="P376" s="16" t="str">
        <f aca="false">IFERROR("/"&amp;LOWER(B376)&amp;"/"&amp;INDEX(Series!$D$2:$D$30,MATCH(C376,Series!$B$2:$B$30,0))&amp;"/"&amp;INDEX(Part_Categories!$C$2:$C$18,MATCH(D376,Part_Categories!$B$2:$B$18,0)),"CHECK")</f>
        <v>/mycom/l-series/cylinder-liner</v>
      </c>
      <c r="Q376" s="19"/>
    </row>
    <row r="377" customFormat="false" ht="23.85" hidden="false" customHeight="false" outlineLevel="0" collapsed="false">
      <c r="A377" s="16" t="n">
        <f aca="false">ROW()-1</f>
        <v>376</v>
      </c>
      <c r="B377" s="17" t="s">
        <v>78</v>
      </c>
      <c r="C377" s="17" t="s">
        <v>127</v>
      </c>
      <c r="D377" s="17" t="s">
        <v>91</v>
      </c>
      <c r="E377" s="16" t="str">
        <f aca="false">IFERROR(INDEX(Lists!$B$2:$B$7,MATCH(B377,Lists!$A$2:$A$7,0))&amp;"-"&amp;INDEX(Series!$C$2:$C$30,MATCH(C377,Series!$B$2:$B$30,0))&amp;"-"&amp;INDEX(Part_Categories!$A$2:$A$18,MATCH(D377,Part_Categories!$B$2:$B$18,0))&amp;"-01","CHECK")</f>
        <v>MYC-L-PST-01</v>
      </c>
      <c r="F377" s="16" t="str">
        <f aca="false">E377&amp;".jpg"</f>
        <v>MYC-L-PST-01.jpg</v>
      </c>
      <c r="G377" s="18" t="str">
        <f aca="false">IFERROR(INDEX(Series!$F$2:$F$30,MATCH(C377,Series!$B$2:$B$30,0)),"")</f>
        <v>4L, 6L, 8L</v>
      </c>
      <c r="H377" s="19"/>
      <c r="I377" s="19"/>
      <c r="J377" s="19"/>
      <c r="K377" s="19" t="s">
        <v>70</v>
      </c>
      <c r="L377" s="19"/>
      <c r="M377" s="19"/>
      <c r="N377" s="19"/>
      <c r="O377" s="18" t="str">
        <f aca="false">C377&amp;" "&amp;D377&amp;" spare part - Efforts Engineers"</f>
        <v>Mycom L Series Piston Assembly spare part - Efforts Engineers</v>
      </c>
      <c r="P377" s="16" t="str">
        <f aca="false">IFERROR("/"&amp;LOWER(B377)&amp;"/"&amp;INDEX(Series!$D$2:$D$30,MATCH(C377,Series!$B$2:$B$30,0))&amp;"/"&amp;INDEX(Part_Categories!$C$2:$C$18,MATCH(D377,Part_Categories!$B$2:$B$18,0)),"CHECK")</f>
        <v>/mycom/l-series/piston-assembly</v>
      </c>
      <c r="Q377" s="19"/>
    </row>
    <row r="378" customFormat="false" ht="23.85" hidden="false" customHeight="false" outlineLevel="0" collapsed="false">
      <c r="A378" s="16" t="n">
        <f aca="false">ROW()-1</f>
        <v>377</v>
      </c>
      <c r="B378" s="17" t="s">
        <v>78</v>
      </c>
      <c r="C378" s="17" t="s">
        <v>127</v>
      </c>
      <c r="D378" s="17" t="s">
        <v>92</v>
      </c>
      <c r="E378" s="16" t="str">
        <f aca="false">IFERROR(INDEX(Lists!$B$2:$B$7,MATCH(B378,Lists!$A$2:$A$7,0))&amp;"-"&amp;INDEX(Series!$C$2:$C$30,MATCH(C378,Series!$B$2:$B$30,0))&amp;"-"&amp;INDEX(Part_Categories!$A$2:$A$18,MATCH(D378,Part_Categories!$B$2:$B$18,0))&amp;"-01","CHECK")</f>
        <v>MYC-L-PRG-01</v>
      </c>
      <c r="F378" s="16" t="str">
        <f aca="false">E378&amp;".jpg"</f>
        <v>MYC-L-PRG-01.jpg</v>
      </c>
      <c r="G378" s="18" t="str">
        <f aca="false">IFERROR(INDEX(Series!$F$2:$F$30,MATCH(C378,Series!$B$2:$B$30,0)),"")</f>
        <v>4L, 6L, 8L</v>
      </c>
      <c r="H378" s="19"/>
      <c r="I378" s="19"/>
      <c r="J378" s="19"/>
      <c r="K378" s="19" t="s">
        <v>70</v>
      </c>
      <c r="L378" s="19"/>
      <c r="M378" s="19"/>
      <c r="N378" s="19"/>
      <c r="O378" s="18" t="str">
        <f aca="false">C378&amp;" "&amp;D378&amp;" spare part - Efforts Engineers"</f>
        <v>Mycom L Series Piston Ring Set spare part - Efforts Engineers</v>
      </c>
      <c r="P378" s="16" t="str">
        <f aca="false">IFERROR("/"&amp;LOWER(B378)&amp;"/"&amp;INDEX(Series!$D$2:$D$30,MATCH(C378,Series!$B$2:$B$30,0))&amp;"/"&amp;INDEX(Part_Categories!$C$2:$C$18,MATCH(D378,Part_Categories!$B$2:$B$18,0)),"CHECK")</f>
        <v>/mycom/l-series/piston-ring-set</v>
      </c>
      <c r="Q378" s="19"/>
    </row>
    <row r="379" customFormat="false" ht="23.85" hidden="false" customHeight="false" outlineLevel="0" collapsed="false">
      <c r="A379" s="16" t="n">
        <f aca="false">ROW()-1</f>
        <v>378</v>
      </c>
      <c r="B379" s="17" t="s">
        <v>78</v>
      </c>
      <c r="C379" s="17" t="s">
        <v>127</v>
      </c>
      <c r="D379" s="17" t="s">
        <v>93</v>
      </c>
      <c r="E379" s="16" t="str">
        <f aca="false">IFERROR(INDEX(Lists!$B$2:$B$7,MATCH(B379,Lists!$A$2:$A$7,0))&amp;"-"&amp;INDEX(Series!$C$2:$C$30,MATCH(C379,Series!$B$2:$B$30,0))&amp;"-"&amp;INDEX(Part_Categories!$A$2:$A$18,MATCH(D379,Part_Categories!$B$2:$B$18,0))&amp;"-01","CHECK")</f>
        <v>MYC-L-CRD-01</v>
      </c>
      <c r="F379" s="16" t="str">
        <f aca="false">E379&amp;".jpg"</f>
        <v>MYC-L-CRD-01.jpg</v>
      </c>
      <c r="G379" s="18" t="str">
        <f aca="false">IFERROR(INDEX(Series!$F$2:$F$30,MATCH(C379,Series!$B$2:$B$30,0)),"")</f>
        <v>4L, 6L, 8L</v>
      </c>
      <c r="H379" s="19"/>
      <c r="I379" s="19"/>
      <c r="J379" s="19"/>
      <c r="K379" s="19" t="s">
        <v>70</v>
      </c>
      <c r="L379" s="19"/>
      <c r="M379" s="19"/>
      <c r="N379" s="19"/>
      <c r="O379" s="18" t="str">
        <f aca="false">C379&amp;" "&amp;D379&amp;" spare part - Efforts Engineers"</f>
        <v>Mycom L Series Connecting Rod spare part - Efforts Engineers</v>
      </c>
      <c r="P379" s="16" t="str">
        <f aca="false">IFERROR("/"&amp;LOWER(B379)&amp;"/"&amp;INDEX(Series!$D$2:$D$30,MATCH(C379,Series!$B$2:$B$30,0))&amp;"/"&amp;INDEX(Part_Categories!$C$2:$C$18,MATCH(D379,Part_Categories!$B$2:$B$18,0)),"CHECK")</f>
        <v>/mycom/l-series/connecting-rod</v>
      </c>
      <c r="Q379" s="19"/>
    </row>
    <row r="380" customFormat="false" ht="23.85" hidden="false" customHeight="false" outlineLevel="0" collapsed="false">
      <c r="A380" s="16" t="n">
        <f aca="false">ROW()-1</f>
        <v>379</v>
      </c>
      <c r="B380" s="17" t="s">
        <v>78</v>
      </c>
      <c r="C380" s="17" t="s">
        <v>127</v>
      </c>
      <c r="D380" s="17" t="s">
        <v>94</v>
      </c>
      <c r="E380" s="16" t="str">
        <f aca="false">IFERROR(INDEX(Lists!$B$2:$B$7,MATCH(B380,Lists!$A$2:$A$7,0))&amp;"-"&amp;INDEX(Series!$C$2:$C$30,MATCH(C380,Series!$B$2:$B$30,0))&amp;"-"&amp;INDEX(Part_Categories!$A$2:$A$18,MATCH(D380,Part_Categories!$B$2:$B$18,0))&amp;"-01","CHECK")</f>
        <v>MYC-L-CRK-01</v>
      </c>
      <c r="F380" s="16" t="str">
        <f aca="false">E380&amp;".jpg"</f>
        <v>MYC-L-CRK-01.jpg</v>
      </c>
      <c r="G380" s="18" t="str">
        <f aca="false">IFERROR(INDEX(Series!$F$2:$F$30,MATCH(C380,Series!$B$2:$B$30,0)),"")</f>
        <v>4L, 6L, 8L</v>
      </c>
      <c r="H380" s="19"/>
      <c r="I380" s="19"/>
      <c r="J380" s="19"/>
      <c r="K380" s="19" t="s">
        <v>70</v>
      </c>
      <c r="L380" s="19"/>
      <c r="M380" s="19"/>
      <c r="N380" s="19"/>
      <c r="O380" s="18" t="str">
        <f aca="false">C380&amp;" "&amp;D380&amp;" spare part - Efforts Engineers"</f>
        <v>Mycom L Series Crankshaft spare part - Efforts Engineers</v>
      </c>
      <c r="P380" s="16" t="str">
        <f aca="false">IFERROR("/"&amp;LOWER(B380)&amp;"/"&amp;INDEX(Series!$D$2:$D$30,MATCH(C380,Series!$B$2:$B$30,0))&amp;"/"&amp;INDEX(Part_Categories!$C$2:$C$18,MATCH(D380,Part_Categories!$B$2:$B$18,0)),"CHECK")</f>
        <v>/mycom/l-series/crankshaft</v>
      </c>
      <c r="Q380" s="19"/>
    </row>
    <row r="381" customFormat="false" ht="23.85" hidden="false" customHeight="false" outlineLevel="0" collapsed="false">
      <c r="A381" s="16" t="n">
        <f aca="false">ROW()-1</f>
        <v>380</v>
      </c>
      <c r="B381" s="17" t="s">
        <v>78</v>
      </c>
      <c r="C381" s="17" t="s">
        <v>127</v>
      </c>
      <c r="D381" s="17" t="s">
        <v>95</v>
      </c>
      <c r="E381" s="16" t="str">
        <f aca="false">IFERROR(INDEX(Lists!$B$2:$B$7,MATCH(B381,Lists!$A$2:$A$7,0))&amp;"-"&amp;INDEX(Series!$C$2:$C$30,MATCH(C381,Series!$B$2:$B$30,0))&amp;"-"&amp;INDEX(Part_Categories!$A$2:$A$18,MATCH(D381,Part_Categories!$B$2:$B$18,0))&amp;"-01","CHECK")</f>
        <v>MYC-L-PIN-01</v>
      </c>
      <c r="F381" s="16" t="str">
        <f aca="false">E381&amp;".jpg"</f>
        <v>MYC-L-PIN-01.jpg</v>
      </c>
      <c r="G381" s="18" t="str">
        <f aca="false">IFERROR(INDEX(Series!$F$2:$F$30,MATCH(C381,Series!$B$2:$B$30,0)),"")</f>
        <v>4L, 6L, 8L</v>
      </c>
      <c r="H381" s="19"/>
      <c r="I381" s="19"/>
      <c r="J381" s="19"/>
      <c r="K381" s="19" t="s">
        <v>70</v>
      </c>
      <c r="L381" s="19"/>
      <c r="M381" s="19"/>
      <c r="N381" s="19"/>
      <c r="O381" s="18" t="str">
        <f aca="false">C381&amp;" "&amp;D381&amp;" spare part - Efforts Engineers"</f>
        <v>Mycom L Series Gudgeon Pin and Bush spare part - Efforts Engineers</v>
      </c>
      <c r="P381" s="16" t="str">
        <f aca="false">IFERROR("/"&amp;LOWER(B381)&amp;"/"&amp;INDEX(Series!$D$2:$D$30,MATCH(C381,Series!$B$2:$B$30,0))&amp;"/"&amp;INDEX(Part_Categories!$C$2:$C$18,MATCH(D381,Part_Categories!$B$2:$B$18,0)),"CHECK")</f>
        <v>/mycom/l-series/gudgeon-pin-and-bush</v>
      </c>
      <c r="Q381" s="19"/>
    </row>
    <row r="382" customFormat="false" ht="23.85" hidden="false" customHeight="false" outlineLevel="0" collapsed="false">
      <c r="A382" s="16" t="n">
        <f aca="false">ROW()-1</f>
        <v>381</v>
      </c>
      <c r="B382" s="17" t="s">
        <v>78</v>
      </c>
      <c r="C382" s="17" t="s">
        <v>127</v>
      </c>
      <c r="D382" s="17" t="s">
        <v>96</v>
      </c>
      <c r="E382" s="16" t="str">
        <f aca="false">IFERROR(INDEX(Lists!$B$2:$B$7,MATCH(B382,Lists!$A$2:$A$7,0))&amp;"-"&amp;INDEX(Series!$C$2:$C$30,MATCH(C382,Series!$B$2:$B$30,0))&amp;"-"&amp;INDEX(Part_Categories!$A$2:$A$18,MATCH(D382,Part_Categories!$B$2:$B$18,0))&amp;"-01","CHECK")</f>
        <v>MYC-L-BRG-01</v>
      </c>
      <c r="F382" s="16" t="str">
        <f aca="false">E382&amp;".jpg"</f>
        <v>MYC-L-BRG-01.jpg</v>
      </c>
      <c r="G382" s="18" t="str">
        <f aca="false">IFERROR(INDEX(Series!$F$2:$F$30,MATCH(C382,Series!$B$2:$B$30,0)),"")</f>
        <v>4L, 6L, 8L</v>
      </c>
      <c r="H382" s="19"/>
      <c r="I382" s="19"/>
      <c r="J382" s="19"/>
      <c r="K382" s="19" t="s">
        <v>70</v>
      </c>
      <c r="L382" s="19"/>
      <c r="M382" s="19"/>
      <c r="N382" s="19"/>
      <c r="O382" s="18" t="str">
        <f aca="false">C382&amp;" "&amp;D382&amp;" spare part - Efforts Engineers"</f>
        <v>Mycom L Series Main Bearing and Bush spare part - Efforts Engineers</v>
      </c>
      <c r="P382" s="16" t="str">
        <f aca="false">IFERROR("/"&amp;LOWER(B382)&amp;"/"&amp;INDEX(Series!$D$2:$D$30,MATCH(C382,Series!$B$2:$B$30,0))&amp;"/"&amp;INDEX(Part_Categories!$C$2:$C$18,MATCH(D382,Part_Categories!$B$2:$B$18,0)),"CHECK")</f>
        <v>/mycom/l-series/main-bearing-and-bush</v>
      </c>
      <c r="Q382" s="19"/>
    </row>
    <row r="383" customFormat="false" ht="23.85" hidden="false" customHeight="false" outlineLevel="0" collapsed="false">
      <c r="A383" s="16" t="n">
        <f aca="false">ROW()-1</f>
        <v>382</v>
      </c>
      <c r="B383" s="17" t="s">
        <v>78</v>
      </c>
      <c r="C383" s="17" t="s">
        <v>127</v>
      </c>
      <c r="D383" s="17" t="s">
        <v>97</v>
      </c>
      <c r="E383" s="16" t="str">
        <f aca="false">IFERROR(INDEX(Lists!$B$2:$B$7,MATCH(B383,Lists!$A$2:$A$7,0))&amp;"-"&amp;INDEX(Series!$C$2:$C$30,MATCH(C383,Series!$B$2:$B$30,0))&amp;"-"&amp;INDEX(Part_Categories!$A$2:$A$18,MATCH(D383,Part_Categories!$B$2:$B$18,0))&amp;"-01","CHECK")</f>
        <v>MYC-L-SVP-01</v>
      </c>
      <c r="F383" s="16" t="str">
        <f aca="false">E383&amp;".jpg"</f>
        <v>MYC-L-SVP-01.jpg</v>
      </c>
      <c r="G383" s="18" t="str">
        <f aca="false">IFERROR(INDEX(Series!$F$2:$F$30,MATCH(C383,Series!$B$2:$B$30,0)),"")</f>
        <v>4L, 6L, 8L</v>
      </c>
      <c r="H383" s="19"/>
      <c r="I383" s="19"/>
      <c r="J383" s="19"/>
      <c r="K383" s="19" t="s">
        <v>70</v>
      </c>
      <c r="L383" s="19"/>
      <c r="M383" s="19"/>
      <c r="N383" s="19"/>
      <c r="O383" s="18" t="str">
        <f aca="false">C383&amp;" "&amp;D383&amp;" spare part - Efforts Engineers"</f>
        <v>Mycom L Series Suction Valve Plate spare part - Efforts Engineers</v>
      </c>
      <c r="P383" s="16" t="str">
        <f aca="false">IFERROR("/"&amp;LOWER(B383)&amp;"/"&amp;INDEX(Series!$D$2:$D$30,MATCH(C383,Series!$B$2:$B$30,0))&amp;"/"&amp;INDEX(Part_Categories!$C$2:$C$18,MATCH(D383,Part_Categories!$B$2:$B$18,0)),"CHECK")</f>
        <v>/mycom/l-series/suction-valve-plate</v>
      </c>
      <c r="Q383" s="19"/>
    </row>
    <row r="384" customFormat="false" ht="23.85" hidden="false" customHeight="false" outlineLevel="0" collapsed="false">
      <c r="A384" s="16" t="n">
        <f aca="false">ROW()-1</f>
        <v>383</v>
      </c>
      <c r="B384" s="17" t="s">
        <v>78</v>
      </c>
      <c r="C384" s="17" t="s">
        <v>127</v>
      </c>
      <c r="D384" s="17" t="s">
        <v>98</v>
      </c>
      <c r="E384" s="16" t="str">
        <f aca="false">IFERROR(INDEX(Lists!$B$2:$B$7,MATCH(B384,Lists!$A$2:$A$7,0))&amp;"-"&amp;INDEX(Series!$C$2:$C$30,MATCH(C384,Series!$B$2:$B$30,0))&amp;"-"&amp;INDEX(Part_Categories!$A$2:$A$18,MATCH(D384,Part_Categories!$B$2:$B$18,0))&amp;"-01","CHECK")</f>
        <v>MYC-L-DVA-01</v>
      </c>
      <c r="F384" s="16" t="str">
        <f aca="false">E384&amp;".jpg"</f>
        <v>MYC-L-DVA-01.jpg</v>
      </c>
      <c r="G384" s="18" t="str">
        <f aca="false">IFERROR(INDEX(Series!$F$2:$F$30,MATCH(C384,Series!$B$2:$B$30,0)),"")</f>
        <v>4L, 6L, 8L</v>
      </c>
      <c r="H384" s="19"/>
      <c r="I384" s="19"/>
      <c r="J384" s="19"/>
      <c r="K384" s="19" t="s">
        <v>70</v>
      </c>
      <c r="L384" s="19"/>
      <c r="M384" s="19"/>
      <c r="N384" s="19"/>
      <c r="O384" s="18" t="str">
        <f aca="false">C384&amp;" "&amp;D384&amp;" spare part - Efforts Engineers"</f>
        <v>Mycom L Series Discharge Valve Assembly spare part - Efforts Engineers</v>
      </c>
      <c r="P384" s="16" t="str">
        <f aca="false">IFERROR("/"&amp;LOWER(B384)&amp;"/"&amp;INDEX(Series!$D$2:$D$30,MATCH(C384,Series!$B$2:$B$30,0))&amp;"/"&amp;INDEX(Part_Categories!$C$2:$C$18,MATCH(D384,Part_Categories!$B$2:$B$18,0)),"CHECK")</f>
        <v>/mycom/l-series/discharge-valve-assembly</v>
      </c>
      <c r="Q384" s="19"/>
    </row>
    <row r="385" customFormat="false" ht="23.85" hidden="false" customHeight="false" outlineLevel="0" collapsed="false">
      <c r="A385" s="16" t="n">
        <f aca="false">ROW()-1</f>
        <v>384</v>
      </c>
      <c r="B385" s="17" t="s">
        <v>78</v>
      </c>
      <c r="C385" s="17" t="s">
        <v>127</v>
      </c>
      <c r="D385" s="17" t="s">
        <v>99</v>
      </c>
      <c r="E385" s="16" t="str">
        <f aca="false">IFERROR(INDEX(Lists!$B$2:$B$7,MATCH(B385,Lists!$A$2:$A$7,0))&amp;"-"&amp;INDEX(Series!$C$2:$C$30,MATCH(C385,Series!$B$2:$B$30,0))&amp;"-"&amp;INDEX(Part_Categories!$A$2:$A$18,MATCH(D385,Part_Categories!$B$2:$B$18,0))&amp;"-01","CHECK")</f>
        <v>MYC-L-VSP-01</v>
      </c>
      <c r="F385" s="16" t="str">
        <f aca="false">E385&amp;".jpg"</f>
        <v>MYC-L-VSP-01.jpg</v>
      </c>
      <c r="G385" s="18" t="str">
        <f aca="false">IFERROR(INDEX(Series!$F$2:$F$30,MATCH(C385,Series!$B$2:$B$30,0)),"")</f>
        <v>4L, 6L, 8L</v>
      </c>
      <c r="H385" s="19"/>
      <c r="I385" s="19"/>
      <c r="J385" s="19"/>
      <c r="K385" s="19" t="s">
        <v>70</v>
      </c>
      <c r="L385" s="19"/>
      <c r="M385" s="19"/>
      <c r="N385" s="19"/>
      <c r="O385" s="18" t="str">
        <f aca="false">C385&amp;" "&amp;D385&amp;" spare part - Efforts Engineers"</f>
        <v>Mycom L Series Valve Spring and Cage spare part - Efforts Engineers</v>
      </c>
      <c r="P385" s="16" t="str">
        <f aca="false">IFERROR("/"&amp;LOWER(B385)&amp;"/"&amp;INDEX(Series!$D$2:$D$30,MATCH(C385,Series!$B$2:$B$30,0))&amp;"/"&amp;INDEX(Part_Categories!$C$2:$C$18,MATCH(D385,Part_Categories!$B$2:$B$18,0)),"CHECK")</f>
        <v>/mycom/l-series/valve-spring-and-cage</v>
      </c>
      <c r="Q385" s="19"/>
    </row>
    <row r="386" customFormat="false" ht="23.85" hidden="false" customHeight="false" outlineLevel="0" collapsed="false">
      <c r="A386" s="16" t="n">
        <f aca="false">ROW()-1</f>
        <v>385</v>
      </c>
      <c r="B386" s="17" t="s">
        <v>78</v>
      </c>
      <c r="C386" s="17" t="s">
        <v>127</v>
      </c>
      <c r="D386" s="17" t="s">
        <v>100</v>
      </c>
      <c r="E386" s="16" t="str">
        <f aca="false">IFERROR(INDEX(Lists!$B$2:$B$7,MATCH(B386,Lists!$A$2:$A$7,0))&amp;"-"&amp;INDEX(Series!$C$2:$C$30,MATCH(C386,Series!$B$2:$B$30,0))&amp;"-"&amp;INDEX(Part_Categories!$A$2:$A$18,MATCH(D386,Part_Categories!$B$2:$B$18,0))&amp;"-01","CHECK")</f>
        <v>MYC-L-HDC-01</v>
      </c>
      <c r="F386" s="16" t="str">
        <f aca="false">E386&amp;".jpg"</f>
        <v>MYC-L-HDC-01.jpg</v>
      </c>
      <c r="G386" s="18" t="str">
        <f aca="false">IFERROR(INDEX(Series!$F$2:$F$30,MATCH(C386,Series!$B$2:$B$30,0)),"")</f>
        <v>4L, 6L, 8L</v>
      </c>
      <c r="H386" s="19"/>
      <c r="I386" s="19"/>
      <c r="J386" s="19"/>
      <c r="K386" s="19" t="s">
        <v>70</v>
      </c>
      <c r="L386" s="19"/>
      <c r="M386" s="19"/>
      <c r="N386" s="19"/>
      <c r="O386" s="18" t="str">
        <f aca="false">C386&amp;" "&amp;D386&amp;" spare part - Efforts Engineers"</f>
        <v>Mycom L Series Cylinder Head Cover spare part - Efforts Engineers</v>
      </c>
      <c r="P386" s="16" t="str">
        <f aca="false">IFERROR("/"&amp;LOWER(B386)&amp;"/"&amp;INDEX(Series!$D$2:$D$30,MATCH(C386,Series!$B$2:$B$30,0))&amp;"/"&amp;INDEX(Part_Categories!$C$2:$C$18,MATCH(D386,Part_Categories!$B$2:$B$18,0)),"CHECK")</f>
        <v>/mycom/l-series/cylinder-head-cover</v>
      </c>
      <c r="Q386" s="19"/>
    </row>
    <row r="387" customFormat="false" ht="23.85" hidden="false" customHeight="false" outlineLevel="0" collapsed="false">
      <c r="A387" s="16" t="n">
        <f aca="false">ROW()-1</f>
        <v>386</v>
      </c>
      <c r="B387" s="17" t="s">
        <v>78</v>
      </c>
      <c r="C387" s="17" t="s">
        <v>127</v>
      </c>
      <c r="D387" s="17" t="s">
        <v>101</v>
      </c>
      <c r="E387" s="16" t="str">
        <f aca="false">IFERROR(INDEX(Lists!$B$2:$B$7,MATCH(B387,Lists!$A$2:$A$7,0))&amp;"-"&amp;INDEX(Series!$C$2:$C$30,MATCH(C387,Series!$B$2:$B$30,0))&amp;"-"&amp;INDEX(Part_Categories!$A$2:$A$18,MATCH(D387,Part_Categories!$B$2:$B$18,0))&amp;"-01","CHECK")</f>
        <v>MYC-L-GSK-01</v>
      </c>
      <c r="F387" s="16" t="str">
        <f aca="false">E387&amp;".jpg"</f>
        <v>MYC-L-GSK-01.jpg</v>
      </c>
      <c r="G387" s="18" t="str">
        <f aca="false">IFERROR(INDEX(Series!$F$2:$F$30,MATCH(C387,Series!$B$2:$B$30,0)),"")</f>
        <v>4L, 6L, 8L</v>
      </c>
      <c r="H387" s="19"/>
      <c r="I387" s="19"/>
      <c r="J387" s="19"/>
      <c r="K387" s="19" t="s">
        <v>70</v>
      </c>
      <c r="L387" s="19"/>
      <c r="M387" s="19"/>
      <c r="N387" s="19"/>
      <c r="O387" s="18" t="str">
        <f aca="false">C387&amp;" "&amp;D387&amp;" spare part - Efforts Engineers"</f>
        <v>Mycom L Series Gasket and Overhaul Kit spare part - Efforts Engineers</v>
      </c>
      <c r="P387" s="16" t="str">
        <f aca="false">IFERROR("/"&amp;LOWER(B387)&amp;"/"&amp;INDEX(Series!$D$2:$D$30,MATCH(C387,Series!$B$2:$B$30,0))&amp;"/"&amp;INDEX(Part_Categories!$C$2:$C$18,MATCH(D387,Part_Categories!$B$2:$B$18,0)),"CHECK")</f>
        <v>/mycom/l-series/gasket-and-overhaul-kit</v>
      </c>
      <c r="Q387" s="19"/>
    </row>
    <row r="388" customFormat="false" ht="23.85" hidden="false" customHeight="false" outlineLevel="0" collapsed="false">
      <c r="A388" s="16" t="n">
        <f aca="false">ROW()-1</f>
        <v>387</v>
      </c>
      <c r="B388" s="17" t="s">
        <v>78</v>
      </c>
      <c r="C388" s="17" t="s">
        <v>127</v>
      </c>
      <c r="D388" s="17" t="s">
        <v>102</v>
      </c>
      <c r="E388" s="16" t="str">
        <f aca="false">IFERROR(INDEX(Lists!$B$2:$B$7,MATCH(B388,Lists!$A$2:$A$7,0))&amp;"-"&amp;INDEX(Series!$C$2:$C$30,MATCH(C388,Series!$B$2:$B$30,0))&amp;"-"&amp;INDEX(Part_Categories!$A$2:$A$18,MATCH(D388,Part_Categories!$B$2:$B$18,0))&amp;"-01","CHECK")</f>
        <v>MYC-L-OPA-01</v>
      </c>
      <c r="F388" s="16" t="str">
        <f aca="false">E388&amp;".jpg"</f>
        <v>MYC-L-OPA-01.jpg</v>
      </c>
      <c r="G388" s="18" t="str">
        <f aca="false">IFERROR(INDEX(Series!$F$2:$F$30,MATCH(C388,Series!$B$2:$B$30,0)),"")</f>
        <v>4L, 6L, 8L</v>
      </c>
      <c r="H388" s="19"/>
      <c r="I388" s="19"/>
      <c r="J388" s="19"/>
      <c r="K388" s="19" t="s">
        <v>70</v>
      </c>
      <c r="L388" s="19"/>
      <c r="M388" s="19"/>
      <c r="N388" s="19"/>
      <c r="O388" s="18" t="str">
        <f aca="false">C388&amp;" "&amp;D388&amp;" spare part - Efforts Engineers"</f>
        <v>Mycom L Series Oil Pump Assembly spare part - Efforts Engineers</v>
      </c>
      <c r="P388" s="16" t="str">
        <f aca="false">IFERROR("/"&amp;LOWER(B388)&amp;"/"&amp;INDEX(Series!$D$2:$D$30,MATCH(C388,Series!$B$2:$B$30,0))&amp;"/"&amp;INDEX(Part_Categories!$C$2:$C$18,MATCH(D388,Part_Categories!$B$2:$B$18,0)),"CHECK")</f>
        <v>/mycom/l-series/oil-pump-assembly</v>
      </c>
      <c r="Q388" s="19"/>
    </row>
    <row r="389" customFormat="false" ht="23.85" hidden="false" customHeight="false" outlineLevel="0" collapsed="false">
      <c r="A389" s="16" t="n">
        <f aca="false">ROW()-1</f>
        <v>388</v>
      </c>
      <c r="B389" s="17" t="s">
        <v>78</v>
      </c>
      <c r="C389" s="17" t="s">
        <v>127</v>
      </c>
      <c r="D389" s="17" t="s">
        <v>103</v>
      </c>
      <c r="E389" s="16" t="str">
        <f aca="false">IFERROR(INDEX(Lists!$B$2:$B$7,MATCH(B389,Lists!$A$2:$A$7,0))&amp;"-"&amp;INDEX(Series!$C$2:$C$30,MATCH(C389,Series!$B$2:$B$30,0))&amp;"-"&amp;INDEX(Part_Categories!$A$2:$A$18,MATCH(D389,Part_Categories!$B$2:$B$18,0))&amp;"-01","CHECK")</f>
        <v>MYC-L-SHS-01</v>
      </c>
      <c r="F389" s="16" t="str">
        <f aca="false">E389&amp;".jpg"</f>
        <v>MYC-L-SHS-01.jpg</v>
      </c>
      <c r="G389" s="18" t="str">
        <f aca="false">IFERROR(INDEX(Series!$F$2:$F$30,MATCH(C389,Series!$B$2:$B$30,0)),"")</f>
        <v>4L, 6L, 8L</v>
      </c>
      <c r="H389" s="19"/>
      <c r="I389" s="19"/>
      <c r="J389" s="19"/>
      <c r="K389" s="19" t="s">
        <v>70</v>
      </c>
      <c r="L389" s="19"/>
      <c r="M389" s="19"/>
      <c r="N389" s="19"/>
      <c r="O389" s="18" t="str">
        <f aca="false">C389&amp;" "&amp;D389&amp;" spare part - Efforts Engineers"</f>
        <v>Mycom L Series Shaft Seal spare part - Efforts Engineers</v>
      </c>
      <c r="P389" s="16" t="str">
        <f aca="false">IFERROR("/"&amp;LOWER(B389)&amp;"/"&amp;INDEX(Series!$D$2:$D$30,MATCH(C389,Series!$B$2:$B$30,0))&amp;"/"&amp;INDEX(Part_Categories!$C$2:$C$18,MATCH(D389,Part_Categories!$B$2:$B$18,0)),"CHECK")</f>
        <v>/mycom/l-series/shaft-seal</v>
      </c>
      <c r="Q389" s="19"/>
    </row>
    <row r="390" customFormat="false" ht="23.85" hidden="false" customHeight="false" outlineLevel="0" collapsed="false">
      <c r="A390" s="16" t="n">
        <f aca="false">ROW()-1</f>
        <v>389</v>
      </c>
      <c r="B390" s="17" t="s">
        <v>78</v>
      </c>
      <c r="C390" s="17" t="s">
        <v>127</v>
      </c>
      <c r="D390" s="17" t="s">
        <v>104</v>
      </c>
      <c r="E390" s="16" t="str">
        <f aca="false">IFERROR(INDEX(Lists!$B$2:$B$7,MATCH(B390,Lists!$A$2:$A$7,0))&amp;"-"&amp;INDEX(Series!$C$2:$C$30,MATCH(C390,Series!$B$2:$B$30,0))&amp;"-"&amp;INDEX(Part_Categories!$A$2:$A$18,MATCH(D390,Part_Categories!$B$2:$B$18,0))&amp;"-01","CHECK")</f>
        <v>MYC-L-FLT-01</v>
      </c>
      <c r="F390" s="16" t="str">
        <f aca="false">E390&amp;".jpg"</f>
        <v>MYC-L-FLT-01.jpg</v>
      </c>
      <c r="G390" s="18" t="str">
        <f aca="false">IFERROR(INDEX(Series!$F$2:$F$30,MATCH(C390,Series!$B$2:$B$30,0)),"")</f>
        <v>4L, 6L, 8L</v>
      </c>
      <c r="H390" s="19"/>
      <c r="I390" s="19"/>
      <c r="J390" s="19"/>
      <c r="K390" s="19" t="s">
        <v>70</v>
      </c>
      <c r="L390" s="19"/>
      <c r="M390" s="19"/>
      <c r="N390" s="19"/>
      <c r="O390" s="18" t="str">
        <f aca="false">C390&amp;" "&amp;D390&amp;" spare part - Efforts Engineers"</f>
        <v>Mycom L Series Oil Filter and Strainer spare part - Efforts Engineers</v>
      </c>
      <c r="P390" s="16" t="str">
        <f aca="false">IFERROR("/"&amp;LOWER(B390)&amp;"/"&amp;INDEX(Series!$D$2:$D$30,MATCH(C390,Series!$B$2:$B$30,0))&amp;"/"&amp;INDEX(Part_Categories!$C$2:$C$18,MATCH(D390,Part_Categories!$B$2:$B$18,0)),"CHECK")</f>
        <v>/mycom/l-series/oil-filter-and-strainer</v>
      </c>
      <c r="Q390" s="19"/>
    </row>
    <row r="391" customFormat="false" ht="23.85" hidden="false" customHeight="false" outlineLevel="0" collapsed="false">
      <c r="A391" s="16" t="n">
        <f aca="false">ROW()-1</f>
        <v>390</v>
      </c>
      <c r="B391" s="17" t="s">
        <v>78</v>
      </c>
      <c r="C391" s="17" t="s">
        <v>127</v>
      </c>
      <c r="D391" s="17" t="s">
        <v>105</v>
      </c>
      <c r="E391" s="16" t="str">
        <f aca="false">IFERROR(INDEX(Lists!$B$2:$B$7,MATCH(B391,Lists!$A$2:$A$7,0))&amp;"-"&amp;INDEX(Series!$C$2:$C$30,MATCH(C391,Series!$B$2:$B$30,0))&amp;"-"&amp;INDEX(Part_Categories!$A$2:$A$18,MATCH(D391,Part_Categories!$B$2:$B$18,0))&amp;"-01","CHECK")</f>
        <v>MYC-L-ULD-01</v>
      </c>
      <c r="F391" s="16" t="str">
        <f aca="false">E391&amp;".jpg"</f>
        <v>MYC-L-ULD-01.jpg</v>
      </c>
      <c r="G391" s="18" t="str">
        <f aca="false">IFERROR(INDEX(Series!$F$2:$F$30,MATCH(C391,Series!$B$2:$B$30,0)),"")</f>
        <v>4L, 6L, 8L</v>
      </c>
      <c r="H391" s="19"/>
      <c r="I391" s="19"/>
      <c r="J391" s="19"/>
      <c r="K391" s="19" t="s">
        <v>70</v>
      </c>
      <c r="L391" s="19"/>
      <c r="M391" s="19"/>
      <c r="N391" s="19"/>
      <c r="O391" s="18" t="str">
        <f aca="false">C391&amp;" "&amp;D391&amp;" spare part - Efforts Engineers"</f>
        <v>Mycom L Series Unloader and Capacity Control spare part - Efforts Engineers</v>
      </c>
      <c r="P391" s="16" t="str">
        <f aca="false">IFERROR("/"&amp;LOWER(B391)&amp;"/"&amp;INDEX(Series!$D$2:$D$30,MATCH(C391,Series!$B$2:$B$30,0))&amp;"/"&amp;INDEX(Part_Categories!$C$2:$C$18,MATCH(D391,Part_Categories!$B$2:$B$18,0)),"CHECK")</f>
        <v>/mycom/l-series/unloader-and-capacity-control</v>
      </c>
      <c r="Q391" s="19"/>
    </row>
    <row r="392" customFormat="false" ht="23.85" hidden="false" customHeight="false" outlineLevel="0" collapsed="false">
      <c r="A392" s="16" t="n">
        <f aca="false">ROW()-1</f>
        <v>391</v>
      </c>
      <c r="B392" s="17" t="s">
        <v>78</v>
      </c>
      <c r="C392" s="17" t="s">
        <v>127</v>
      </c>
      <c r="D392" s="17" t="s">
        <v>106</v>
      </c>
      <c r="E392" s="16" t="str">
        <f aca="false">IFERROR(INDEX(Lists!$B$2:$B$7,MATCH(B392,Lists!$A$2:$A$7,0))&amp;"-"&amp;INDEX(Series!$C$2:$C$30,MATCH(C392,Series!$B$2:$B$30,0))&amp;"-"&amp;INDEX(Part_Categories!$A$2:$A$18,MATCH(D392,Part_Categories!$B$2:$B$18,0))&amp;"-01","CHECK")</f>
        <v>MYC-L-SAF-01</v>
      </c>
      <c r="F392" s="16" t="str">
        <f aca="false">E392&amp;".jpg"</f>
        <v>MYC-L-SAF-01.jpg</v>
      </c>
      <c r="G392" s="18" t="str">
        <f aca="false">IFERROR(INDEX(Series!$F$2:$F$30,MATCH(C392,Series!$B$2:$B$30,0)),"")</f>
        <v>4L, 6L, 8L</v>
      </c>
      <c r="H392" s="19"/>
      <c r="I392" s="19"/>
      <c r="J392" s="19"/>
      <c r="K392" s="19" t="s">
        <v>70</v>
      </c>
      <c r="L392" s="19"/>
      <c r="M392" s="19"/>
      <c r="N392" s="19"/>
      <c r="O392" s="18" t="str">
        <f aca="false">C392&amp;" "&amp;D392&amp;" spare part - Efforts Engineers"</f>
        <v>Mycom L Series Safety Head and Relief Valve spare part - Efforts Engineers</v>
      </c>
      <c r="P392" s="16" t="str">
        <f aca="false">IFERROR("/"&amp;LOWER(B392)&amp;"/"&amp;INDEX(Series!$D$2:$D$30,MATCH(C392,Series!$B$2:$B$30,0))&amp;"/"&amp;INDEX(Part_Categories!$C$2:$C$18,MATCH(D392,Part_Categories!$B$2:$B$18,0)),"CHECK")</f>
        <v>/mycom/l-series/safety-head-and-relief-valve</v>
      </c>
      <c r="Q392" s="19"/>
    </row>
    <row r="393" customFormat="false" ht="23.85" hidden="false" customHeight="false" outlineLevel="0" collapsed="false">
      <c r="A393" s="16" t="n">
        <f aca="false">ROW()-1</f>
        <v>392</v>
      </c>
      <c r="B393" s="17" t="s">
        <v>78</v>
      </c>
      <c r="C393" s="17" t="s">
        <v>128</v>
      </c>
      <c r="D393" s="17" t="s">
        <v>58</v>
      </c>
      <c r="E393" s="16" t="str">
        <f aca="false">IFERROR(INDEX(Lists!$B$2:$B$7,MATCH(B393,Lists!$A$2:$A$7,0))&amp;"-"&amp;INDEX(Series!$C$2:$C$30,MATCH(C393,Series!$B$2:$B$30,0))&amp;"-"&amp;INDEX(Part_Categories!$A$2:$A$18,MATCH(D393,Part_Categories!$B$2:$B$18,0))&amp;"-01","CHECK")</f>
        <v>MYC-M-CLN-01</v>
      </c>
      <c r="F393" s="16" t="str">
        <f aca="false">E393&amp;".jpg"</f>
        <v>MYC-M-CLN-01.jpg</v>
      </c>
      <c r="G393" s="18" t="str">
        <f aca="false">IFERROR(INDEX(Series!$F$2:$F$30,MATCH(C393,Series!$B$2:$B$30,0)),"")</f>
        <v>2M, 4M, 6M, 8M, 62M, 62M-FM</v>
      </c>
      <c r="H393" s="19"/>
      <c r="I393" s="19"/>
      <c r="J393" s="19"/>
      <c r="K393" s="19" t="s">
        <v>70</v>
      </c>
      <c r="L393" s="19"/>
      <c r="M393" s="19"/>
      <c r="N393" s="19"/>
      <c r="O393" s="18" t="str">
        <f aca="false">C393&amp;" "&amp;D393&amp;" spare part - Efforts Engineers"</f>
        <v>Mycom M Series Cylinder Liner spare part - Efforts Engineers</v>
      </c>
      <c r="P393" s="16" t="str">
        <f aca="false">IFERROR("/"&amp;LOWER(B393)&amp;"/"&amp;INDEX(Series!$D$2:$D$30,MATCH(C393,Series!$B$2:$B$30,0))&amp;"/"&amp;INDEX(Part_Categories!$C$2:$C$18,MATCH(D393,Part_Categories!$B$2:$B$18,0)),"CHECK")</f>
        <v>/mycom/m-series/cylinder-liner</v>
      </c>
      <c r="Q393" s="19"/>
    </row>
    <row r="394" customFormat="false" ht="23.85" hidden="false" customHeight="false" outlineLevel="0" collapsed="false">
      <c r="A394" s="16" t="n">
        <f aca="false">ROW()-1</f>
        <v>393</v>
      </c>
      <c r="B394" s="17" t="s">
        <v>78</v>
      </c>
      <c r="C394" s="17" t="s">
        <v>128</v>
      </c>
      <c r="D394" s="17" t="s">
        <v>91</v>
      </c>
      <c r="E394" s="16" t="str">
        <f aca="false">IFERROR(INDEX(Lists!$B$2:$B$7,MATCH(B394,Lists!$A$2:$A$7,0))&amp;"-"&amp;INDEX(Series!$C$2:$C$30,MATCH(C394,Series!$B$2:$B$30,0))&amp;"-"&amp;INDEX(Part_Categories!$A$2:$A$18,MATCH(D394,Part_Categories!$B$2:$B$18,0))&amp;"-01","CHECK")</f>
        <v>MYC-M-PST-01</v>
      </c>
      <c r="F394" s="16" t="str">
        <f aca="false">E394&amp;".jpg"</f>
        <v>MYC-M-PST-01.jpg</v>
      </c>
      <c r="G394" s="18" t="str">
        <f aca="false">IFERROR(INDEX(Series!$F$2:$F$30,MATCH(C394,Series!$B$2:$B$30,0)),"")</f>
        <v>2M, 4M, 6M, 8M, 62M, 62M-FM</v>
      </c>
      <c r="H394" s="19"/>
      <c r="I394" s="19"/>
      <c r="J394" s="19"/>
      <c r="K394" s="19" t="s">
        <v>70</v>
      </c>
      <c r="L394" s="19"/>
      <c r="M394" s="19"/>
      <c r="N394" s="19"/>
      <c r="O394" s="18" t="str">
        <f aca="false">C394&amp;" "&amp;D394&amp;" spare part - Efforts Engineers"</f>
        <v>Mycom M Series Piston Assembly spare part - Efforts Engineers</v>
      </c>
      <c r="P394" s="16" t="str">
        <f aca="false">IFERROR("/"&amp;LOWER(B394)&amp;"/"&amp;INDEX(Series!$D$2:$D$30,MATCH(C394,Series!$B$2:$B$30,0))&amp;"/"&amp;INDEX(Part_Categories!$C$2:$C$18,MATCH(D394,Part_Categories!$B$2:$B$18,0)),"CHECK")</f>
        <v>/mycom/m-series/piston-assembly</v>
      </c>
      <c r="Q394" s="19"/>
    </row>
    <row r="395" customFormat="false" ht="23.85" hidden="false" customHeight="false" outlineLevel="0" collapsed="false">
      <c r="A395" s="16" t="n">
        <f aca="false">ROW()-1</f>
        <v>394</v>
      </c>
      <c r="B395" s="17" t="s">
        <v>78</v>
      </c>
      <c r="C395" s="17" t="s">
        <v>128</v>
      </c>
      <c r="D395" s="17" t="s">
        <v>92</v>
      </c>
      <c r="E395" s="16" t="str">
        <f aca="false">IFERROR(INDEX(Lists!$B$2:$B$7,MATCH(B395,Lists!$A$2:$A$7,0))&amp;"-"&amp;INDEX(Series!$C$2:$C$30,MATCH(C395,Series!$B$2:$B$30,0))&amp;"-"&amp;INDEX(Part_Categories!$A$2:$A$18,MATCH(D395,Part_Categories!$B$2:$B$18,0))&amp;"-01","CHECK")</f>
        <v>MYC-M-PRG-01</v>
      </c>
      <c r="F395" s="16" t="str">
        <f aca="false">E395&amp;".jpg"</f>
        <v>MYC-M-PRG-01.jpg</v>
      </c>
      <c r="G395" s="18" t="str">
        <f aca="false">IFERROR(INDEX(Series!$F$2:$F$30,MATCH(C395,Series!$B$2:$B$30,0)),"")</f>
        <v>2M, 4M, 6M, 8M, 62M, 62M-FM</v>
      </c>
      <c r="H395" s="19"/>
      <c r="I395" s="19"/>
      <c r="J395" s="19"/>
      <c r="K395" s="19" t="s">
        <v>70</v>
      </c>
      <c r="L395" s="19"/>
      <c r="M395" s="19"/>
      <c r="N395" s="19"/>
      <c r="O395" s="18" t="str">
        <f aca="false">C395&amp;" "&amp;D395&amp;" spare part - Efforts Engineers"</f>
        <v>Mycom M Series Piston Ring Set spare part - Efforts Engineers</v>
      </c>
      <c r="P395" s="16" t="str">
        <f aca="false">IFERROR("/"&amp;LOWER(B395)&amp;"/"&amp;INDEX(Series!$D$2:$D$30,MATCH(C395,Series!$B$2:$B$30,0))&amp;"/"&amp;INDEX(Part_Categories!$C$2:$C$18,MATCH(D395,Part_Categories!$B$2:$B$18,0)),"CHECK")</f>
        <v>/mycom/m-series/piston-ring-set</v>
      </c>
      <c r="Q395" s="19"/>
    </row>
    <row r="396" customFormat="false" ht="23.85" hidden="false" customHeight="false" outlineLevel="0" collapsed="false">
      <c r="A396" s="16" t="n">
        <f aca="false">ROW()-1</f>
        <v>395</v>
      </c>
      <c r="B396" s="17" t="s">
        <v>78</v>
      </c>
      <c r="C396" s="17" t="s">
        <v>128</v>
      </c>
      <c r="D396" s="17" t="s">
        <v>93</v>
      </c>
      <c r="E396" s="16" t="str">
        <f aca="false">IFERROR(INDEX(Lists!$B$2:$B$7,MATCH(B396,Lists!$A$2:$A$7,0))&amp;"-"&amp;INDEX(Series!$C$2:$C$30,MATCH(C396,Series!$B$2:$B$30,0))&amp;"-"&amp;INDEX(Part_Categories!$A$2:$A$18,MATCH(D396,Part_Categories!$B$2:$B$18,0))&amp;"-01","CHECK")</f>
        <v>MYC-M-CRD-01</v>
      </c>
      <c r="F396" s="16" t="str">
        <f aca="false">E396&amp;".jpg"</f>
        <v>MYC-M-CRD-01.jpg</v>
      </c>
      <c r="G396" s="18" t="str">
        <f aca="false">IFERROR(INDEX(Series!$F$2:$F$30,MATCH(C396,Series!$B$2:$B$30,0)),"")</f>
        <v>2M, 4M, 6M, 8M, 62M, 62M-FM</v>
      </c>
      <c r="H396" s="19"/>
      <c r="I396" s="19"/>
      <c r="J396" s="19"/>
      <c r="K396" s="19" t="s">
        <v>70</v>
      </c>
      <c r="L396" s="19"/>
      <c r="M396" s="19"/>
      <c r="N396" s="19"/>
      <c r="O396" s="18" t="str">
        <f aca="false">C396&amp;" "&amp;D396&amp;" spare part - Efforts Engineers"</f>
        <v>Mycom M Series Connecting Rod spare part - Efforts Engineers</v>
      </c>
      <c r="P396" s="16" t="str">
        <f aca="false">IFERROR("/"&amp;LOWER(B396)&amp;"/"&amp;INDEX(Series!$D$2:$D$30,MATCH(C396,Series!$B$2:$B$30,0))&amp;"/"&amp;INDEX(Part_Categories!$C$2:$C$18,MATCH(D396,Part_Categories!$B$2:$B$18,0)),"CHECK")</f>
        <v>/mycom/m-series/connecting-rod</v>
      </c>
      <c r="Q396" s="19"/>
    </row>
    <row r="397" customFormat="false" ht="23.85" hidden="false" customHeight="false" outlineLevel="0" collapsed="false">
      <c r="A397" s="16" t="n">
        <f aca="false">ROW()-1</f>
        <v>396</v>
      </c>
      <c r="B397" s="17" t="s">
        <v>78</v>
      </c>
      <c r="C397" s="17" t="s">
        <v>128</v>
      </c>
      <c r="D397" s="17" t="s">
        <v>94</v>
      </c>
      <c r="E397" s="16" t="str">
        <f aca="false">IFERROR(INDEX(Lists!$B$2:$B$7,MATCH(B397,Lists!$A$2:$A$7,0))&amp;"-"&amp;INDEX(Series!$C$2:$C$30,MATCH(C397,Series!$B$2:$B$30,0))&amp;"-"&amp;INDEX(Part_Categories!$A$2:$A$18,MATCH(D397,Part_Categories!$B$2:$B$18,0))&amp;"-01","CHECK")</f>
        <v>MYC-M-CRK-01</v>
      </c>
      <c r="F397" s="16" t="str">
        <f aca="false">E397&amp;".jpg"</f>
        <v>MYC-M-CRK-01.jpg</v>
      </c>
      <c r="G397" s="18" t="str">
        <f aca="false">IFERROR(INDEX(Series!$F$2:$F$30,MATCH(C397,Series!$B$2:$B$30,0)),"")</f>
        <v>2M, 4M, 6M, 8M, 62M, 62M-FM</v>
      </c>
      <c r="H397" s="19"/>
      <c r="I397" s="19"/>
      <c r="J397" s="19"/>
      <c r="K397" s="19" t="s">
        <v>70</v>
      </c>
      <c r="L397" s="19"/>
      <c r="M397" s="19"/>
      <c r="N397" s="19"/>
      <c r="O397" s="18" t="str">
        <f aca="false">C397&amp;" "&amp;D397&amp;" spare part - Efforts Engineers"</f>
        <v>Mycom M Series Crankshaft spare part - Efforts Engineers</v>
      </c>
      <c r="P397" s="16" t="str">
        <f aca="false">IFERROR("/"&amp;LOWER(B397)&amp;"/"&amp;INDEX(Series!$D$2:$D$30,MATCH(C397,Series!$B$2:$B$30,0))&amp;"/"&amp;INDEX(Part_Categories!$C$2:$C$18,MATCH(D397,Part_Categories!$B$2:$B$18,0)),"CHECK")</f>
        <v>/mycom/m-series/crankshaft</v>
      </c>
      <c r="Q397" s="19"/>
    </row>
    <row r="398" customFormat="false" ht="23.85" hidden="false" customHeight="false" outlineLevel="0" collapsed="false">
      <c r="A398" s="16" t="n">
        <f aca="false">ROW()-1</f>
        <v>397</v>
      </c>
      <c r="B398" s="17" t="s">
        <v>78</v>
      </c>
      <c r="C398" s="17" t="s">
        <v>128</v>
      </c>
      <c r="D398" s="17" t="s">
        <v>95</v>
      </c>
      <c r="E398" s="16" t="str">
        <f aca="false">IFERROR(INDEX(Lists!$B$2:$B$7,MATCH(B398,Lists!$A$2:$A$7,0))&amp;"-"&amp;INDEX(Series!$C$2:$C$30,MATCH(C398,Series!$B$2:$B$30,0))&amp;"-"&amp;INDEX(Part_Categories!$A$2:$A$18,MATCH(D398,Part_Categories!$B$2:$B$18,0))&amp;"-01","CHECK")</f>
        <v>MYC-M-PIN-01</v>
      </c>
      <c r="F398" s="16" t="str">
        <f aca="false">E398&amp;".jpg"</f>
        <v>MYC-M-PIN-01.jpg</v>
      </c>
      <c r="G398" s="18" t="str">
        <f aca="false">IFERROR(INDEX(Series!$F$2:$F$30,MATCH(C398,Series!$B$2:$B$30,0)),"")</f>
        <v>2M, 4M, 6M, 8M, 62M, 62M-FM</v>
      </c>
      <c r="H398" s="19"/>
      <c r="I398" s="19"/>
      <c r="J398" s="19"/>
      <c r="K398" s="19" t="s">
        <v>70</v>
      </c>
      <c r="L398" s="19"/>
      <c r="M398" s="19"/>
      <c r="N398" s="19"/>
      <c r="O398" s="18" t="str">
        <f aca="false">C398&amp;" "&amp;D398&amp;" spare part - Efforts Engineers"</f>
        <v>Mycom M Series Gudgeon Pin and Bush spare part - Efforts Engineers</v>
      </c>
      <c r="P398" s="16" t="str">
        <f aca="false">IFERROR("/"&amp;LOWER(B398)&amp;"/"&amp;INDEX(Series!$D$2:$D$30,MATCH(C398,Series!$B$2:$B$30,0))&amp;"/"&amp;INDEX(Part_Categories!$C$2:$C$18,MATCH(D398,Part_Categories!$B$2:$B$18,0)),"CHECK")</f>
        <v>/mycom/m-series/gudgeon-pin-and-bush</v>
      </c>
      <c r="Q398" s="19"/>
    </row>
    <row r="399" customFormat="false" ht="23.85" hidden="false" customHeight="false" outlineLevel="0" collapsed="false">
      <c r="A399" s="16" t="n">
        <f aca="false">ROW()-1</f>
        <v>398</v>
      </c>
      <c r="B399" s="17" t="s">
        <v>78</v>
      </c>
      <c r="C399" s="17" t="s">
        <v>128</v>
      </c>
      <c r="D399" s="17" t="s">
        <v>96</v>
      </c>
      <c r="E399" s="16" t="str">
        <f aca="false">IFERROR(INDEX(Lists!$B$2:$B$7,MATCH(B399,Lists!$A$2:$A$7,0))&amp;"-"&amp;INDEX(Series!$C$2:$C$30,MATCH(C399,Series!$B$2:$B$30,0))&amp;"-"&amp;INDEX(Part_Categories!$A$2:$A$18,MATCH(D399,Part_Categories!$B$2:$B$18,0))&amp;"-01","CHECK")</f>
        <v>MYC-M-BRG-01</v>
      </c>
      <c r="F399" s="16" t="str">
        <f aca="false">E399&amp;".jpg"</f>
        <v>MYC-M-BRG-01.jpg</v>
      </c>
      <c r="G399" s="18" t="str">
        <f aca="false">IFERROR(INDEX(Series!$F$2:$F$30,MATCH(C399,Series!$B$2:$B$30,0)),"")</f>
        <v>2M, 4M, 6M, 8M, 62M, 62M-FM</v>
      </c>
      <c r="H399" s="19"/>
      <c r="I399" s="19"/>
      <c r="J399" s="19"/>
      <c r="K399" s="19" t="s">
        <v>70</v>
      </c>
      <c r="L399" s="19"/>
      <c r="M399" s="19"/>
      <c r="N399" s="19"/>
      <c r="O399" s="18" t="str">
        <f aca="false">C399&amp;" "&amp;D399&amp;" spare part - Efforts Engineers"</f>
        <v>Mycom M Series Main Bearing and Bush spare part - Efforts Engineers</v>
      </c>
      <c r="P399" s="16" t="str">
        <f aca="false">IFERROR("/"&amp;LOWER(B399)&amp;"/"&amp;INDEX(Series!$D$2:$D$30,MATCH(C399,Series!$B$2:$B$30,0))&amp;"/"&amp;INDEX(Part_Categories!$C$2:$C$18,MATCH(D399,Part_Categories!$B$2:$B$18,0)),"CHECK")</f>
        <v>/mycom/m-series/main-bearing-and-bush</v>
      </c>
      <c r="Q399" s="19"/>
    </row>
    <row r="400" customFormat="false" ht="23.85" hidden="false" customHeight="false" outlineLevel="0" collapsed="false">
      <c r="A400" s="16" t="n">
        <f aca="false">ROW()-1</f>
        <v>399</v>
      </c>
      <c r="B400" s="17" t="s">
        <v>78</v>
      </c>
      <c r="C400" s="17" t="s">
        <v>128</v>
      </c>
      <c r="D400" s="17" t="s">
        <v>97</v>
      </c>
      <c r="E400" s="16" t="str">
        <f aca="false">IFERROR(INDEX(Lists!$B$2:$B$7,MATCH(B400,Lists!$A$2:$A$7,0))&amp;"-"&amp;INDEX(Series!$C$2:$C$30,MATCH(C400,Series!$B$2:$B$30,0))&amp;"-"&amp;INDEX(Part_Categories!$A$2:$A$18,MATCH(D400,Part_Categories!$B$2:$B$18,0))&amp;"-01","CHECK")</f>
        <v>MYC-M-SVP-01</v>
      </c>
      <c r="F400" s="16" t="str">
        <f aca="false">E400&amp;".jpg"</f>
        <v>MYC-M-SVP-01.jpg</v>
      </c>
      <c r="G400" s="18" t="str">
        <f aca="false">IFERROR(INDEX(Series!$F$2:$F$30,MATCH(C400,Series!$B$2:$B$30,0)),"")</f>
        <v>2M, 4M, 6M, 8M, 62M, 62M-FM</v>
      </c>
      <c r="H400" s="19"/>
      <c r="I400" s="19"/>
      <c r="J400" s="19"/>
      <c r="K400" s="19" t="s">
        <v>70</v>
      </c>
      <c r="L400" s="19"/>
      <c r="M400" s="19"/>
      <c r="N400" s="19"/>
      <c r="O400" s="18" t="str">
        <f aca="false">C400&amp;" "&amp;D400&amp;" spare part - Efforts Engineers"</f>
        <v>Mycom M Series Suction Valve Plate spare part - Efforts Engineers</v>
      </c>
      <c r="P400" s="16" t="str">
        <f aca="false">IFERROR("/"&amp;LOWER(B400)&amp;"/"&amp;INDEX(Series!$D$2:$D$30,MATCH(C400,Series!$B$2:$B$30,0))&amp;"/"&amp;INDEX(Part_Categories!$C$2:$C$18,MATCH(D400,Part_Categories!$B$2:$B$18,0)),"CHECK")</f>
        <v>/mycom/m-series/suction-valve-plate</v>
      </c>
      <c r="Q400" s="19"/>
    </row>
    <row r="401" customFormat="false" ht="23.85" hidden="false" customHeight="false" outlineLevel="0" collapsed="false">
      <c r="A401" s="16" t="n">
        <f aca="false">ROW()-1</f>
        <v>400</v>
      </c>
      <c r="B401" s="17" t="s">
        <v>78</v>
      </c>
      <c r="C401" s="17" t="s">
        <v>128</v>
      </c>
      <c r="D401" s="17" t="s">
        <v>98</v>
      </c>
      <c r="E401" s="16" t="str">
        <f aca="false">IFERROR(INDEX(Lists!$B$2:$B$7,MATCH(B401,Lists!$A$2:$A$7,0))&amp;"-"&amp;INDEX(Series!$C$2:$C$30,MATCH(C401,Series!$B$2:$B$30,0))&amp;"-"&amp;INDEX(Part_Categories!$A$2:$A$18,MATCH(D401,Part_Categories!$B$2:$B$18,0))&amp;"-01","CHECK")</f>
        <v>MYC-M-DVA-01</v>
      </c>
      <c r="F401" s="16" t="str">
        <f aca="false">E401&amp;".jpg"</f>
        <v>MYC-M-DVA-01.jpg</v>
      </c>
      <c r="G401" s="18" t="str">
        <f aca="false">IFERROR(INDEX(Series!$F$2:$F$30,MATCH(C401,Series!$B$2:$B$30,0)),"")</f>
        <v>2M, 4M, 6M, 8M, 62M, 62M-FM</v>
      </c>
      <c r="H401" s="19"/>
      <c r="I401" s="19"/>
      <c r="J401" s="19"/>
      <c r="K401" s="19" t="s">
        <v>70</v>
      </c>
      <c r="L401" s="19"/>
      <c r="M401" s="19"/>
      <c r="N401" s="19"/>
      <c r="O401" s="18" t="str">
        <f aca="false">C401&amp;" "&amp;D401&amp;" spare part - Efforts Engineers"</f>
        <v>Mycom M Series Discharge Valve Assembly spare part - Efforts Engineers</v>
      </c>
      <c r="P401" s="16" t="str">
        <f aca="false">IFERROR("/"&amp;LOWER(B401)&amp;"/"&amp;INDEX(Series!$D$2:$D$30,MATCH(C401,Series!$B$2:$B$30,0))&amp;"/"&amp;INDEX(Part_Categories!$C$2:$C$18,MATCH(D401,Part_Categories!$B$2:$B$18,0)),"CHECK")</f>
        <v>/mycom/m-series/discharge-valve-assembly</v>
      </c>
      <c r="Q401" s="19"/>
    </row>
    <row r="402" customFormat="false" ht="23.85" hidden="false" customHeight="false" outlineLevel="0" collapsed="false">
      <c r="A402" s="16" t="n">
        <f aca="false">ROW()-1</f>
        <v>401</v>
      </c>
      <c r="B402" s="17" t="s">
        <v>78</v>
      </c>
      <c r="C402" s="17" t="s">
        <v>128</v>
      </c>
      <c r="D402" s="17" t="s">
        <v>99</v>
      </c>
      <c r="E402" s="16" t="str">
        <f aca="false">IFERROR(INDEX(Lists!$B$2:$B$7,MATCH(B402,Lists!$A$2:$A$7,0))&amp;"-"&amp;INDEX(Series!$C$2:$C$30,MATCH(C402,Series!$B$2:$B$30,0))&amp;"-"&amp;INDEX(Part_Categories!$A$2:$A$18,MATCH(D402,Part_Categories!$B$2:$B$18,0))&amp;"-01","CHECK")</f>
        <v>MYC-M-VSP-01</v>
      </c>
      <c r="F402" s="16" t="str">
        <f aca="false">E402&amp;".jpg"</f>
        <v>MYC-M-VSP-01.jpg</v>
      </c>
      <c r="G402" s="18" t="str">
        <f aca="false">IFERROR(INDEX(Series!$F$2:$F$30,MATCH(C402,Series!$B$2:$B$30,0)),"")</f>
        <v>2M, 4M, 6M, 8M, 62M, 62M-FM</v>
      </c>
      <c r="H402" s="19"/>
      <c r="I402" s="19"/>
      <c r="J402" s="19"/>
      <c r="K402" s="19" t="s">
        <v>70</v>
      </c>
      <c r="L402" s="19"/>
      <c r="M402" s="19"/>
      <c r="N402" s="19"/>
      <c r="O402" s="18" t="str">
        <f aca="false">C402&amp;" "&amp;D402&amp;" spare part - Efforts Engineers"</f>
        <v>Mycom M Series Valve Spring and Cage spare part - Efforts Engineers</v>
      </c>
      <c r="P402" s="16" t="str">
        <f aca="false">IFERROR("/"&amp;LOWER(B402)&amp;"/"&amp;INDEX(Series!$D$2:$D$30,MATCH(C402,Series!$B$2:$B$30,0))&amp;"/"&amp;INDEX(Part_Categories!$C$2:$C$18,MATCH(D402,Part_Categories!$B$2:$B$18,0)),"CHECK")</f>
        <v>/mycom/m-series/valve-spring-and-cage</v>
      </c>
      <c r="Q402" s="19"/>
    </row>
    <row r="403" customFormat="false" ht="23.85" hidden="false" customHeight="false" outlineLevel="0" collapsed="false">
      <c r="A403" s="16" t="n">
        <f aca="false">ROW()-1</f>
        <v>402</v>
      </c>
      <c r="B403" s="17" t="s">
        <v>78</v>
      </c>
      <c r="C403" s="17" t="s">
        <v>128</v>
      </c>
      <c r="D403" s="17" t="s">
        <v>100</v>
      </c>
      <c r="E403" s="16" t="str">
        <f aca="false">IFERROR(INDEX(Lists!$B$2:$B$7,MATCH(B403,Lists!$A$2:$A$7,0))&amp;"-"&amp;INDEX(Series!$C$2:$C$30,MATCH(C403,Series!$B$2:$B$30,0))&amp;"-"&amp;INDEX(Part_Categories!$A$2:$A$18,MATCH(D403,Part_Categories!$B$2:$B$18,0))&amp;"-01","CHECK")</f>
        <v>MYC-M-HDC-01</v>
      </c>
      <c r="F403" s="16" t="str">
        <f aca="false">E403&amp;".jpg"</f>
        <v>MYC-M-HDC-01.jpg</v>
      </c>
      <c r="G403" s="18" t="str">
        <f aca="false">IFERROR(INDEX(Series!$F$2:$F$30,MATCH(C403,Series!$B$2:$B$30,0)),"")</f>
        <v>2M, 4M, 6M, 8M, 62M, 62M-FM</v>
      </c>
      <c r="H403" s="19"/>
      <c r="I403" s="19"/>
      <c r="J403" s="19"/>
      <c r="K403" s="19" t="s">
        <v>70</v>
      </c>
      <c r="L403" s="19"/>
      <c r="M403" s="19"/>
      <c r="N403" s="19"/>
      <c r="O403" s="18" t="str">
        <f aca="false">C403&amp;" "&amp;D403&amp;" spare part - Efforts Engineers"</f>
        <v>Mycom M Series Cylinder Head Cover spare part - Efforts Engineers</v>
      </c>
      <c r="P403" s="16" t="str">
        <f aca="false">IFERROR("/"&amp;LOWER(B403)&amp;"/"&amp;INDEX(Series!$D$2:$D$30,MATCH(C403,Series!$B$2:$B$30,0))&amp;"/"&amp;INDEX(Part_Categories!$C$2:$C$18,MATCH(D403,Part_Categories!$B$2:$B$18,0)),"CHECK")</f>
        <v>/mycom/m-series/cylinder-head-cover</v>
      </c>
      <c r="Q403" s="19"/>
    </row>
    <row r="404" customFormat="false" ht="23.85" hidden="false" customHeight="false" outlineLevel="0" collapsed="false">
      <c r="A404" s="16" t="n">
        <f aca="false">ROW()-1</f>
        <v>403</v>
      </c>
      <c r="B404" s="17" t="s">
        <v>78</v>
      </c>
      <c r="C404" s="17" t="s">
        <v>128</v>
      </c>
      <c r="D404" s="17" t="s">
        <v>101</v>
      </c>
      <c r="E404" s="16" t="str">
        <f aca="false">IFERROR(INDEX(Lists!$B$2:$B$7,MATCH(B404,Lists!$A$2:$A$7,0))&amp;"-"&amp;INDEX(Series!$C$2:$C$30,MATCH(C404,Series!$B$2:$B$30,0))&amp;"-"&amp;INDEX(Part_Categories!$A$2:$A$18,MATCH(D404,Part_Categories!$B$2:$B$18,0))&amp;"-01","CHECK")</f>
        <v>MYC-M-GSK-01</v>
      </c>
      <c r="F404" s="16" t="str">
        <f aca="false">E404&amp;".jpg"</f>
        <v>MYC-M-GSK-01.jpg</v>
      </c>
      <c r="G404" s="18" t="str">
        <f aca="false">IFERROR(INDEX(Series!$F$2:$F$30,MATCH(C404,Series!$B$2:$B$30,0)),"")</f>
        <v>2M, 4M, 6M, 8M, 62M, 62M-FM</v>
      </c>
      <c r="H404" s="19"/>
      <c r="I404" s="19"/>
      <c r="J404" s="19"/>
      <c r="K404" s="19" t="s">
        <v>70</v>
      </c>
      <c r="L404" s="19"/>
      <c r="M404" s="19"/>
      <c r="N404" s="19"/>
      <c r="O404" s="18" t="str">
        <f aca="false">C404&amp;" "&amp;D404&amp;" spare part - Efforts Engineers"</f>
        <v>Mycom M Series Gasket and Overhaul Kit spare part - Efforts Engineers</v>
      </c>
      <c r="P404" s="16" t="str">
        <f aca="false">IFERROR("/"&amp;LOWER(B404)&amp;"/"&amp;INDEX(Series!$D$2:$D$30,MATCH(C404,Series!$B$2:$B$30,0))&amp;"/"&amp;INDEX(Part_Categories!$C$2:$C$18,MATCH(D404,Part_Categories!$B$2:$B$18,0)),"CHECK")</f>
        <v>/mycom/m-series/gasket-and-overhaul-kit</v>
      </c>
      <c r="Q404" s="19"/>
    </row>
    <row r="405" customFormat="false" ht="23.85" hidden="false" customHeight="false" outlineLevel="0" collapsed="false">
      <c r="A405" s="16" t="n">
        <f aca="false">ROW()-1</f>
        <v>404</v>
      </c>
      <c r="B405" s="17" t="s">
        <v>78</v>
      </c>
      <c r="C405" s="17" t="s">
        <v>128</v>
      </c>
      <c r="D405" s="17" t="s">
        <v>102</v>
      </c>
      <c r="E405" s="16" t="str">
        <f aca="false">IFERROR(INDEX(Lists!$B$2:$B$7,MATCH(B405,Lists!$A$2:$A$7,0))&amp;"-"&amp;INDEX(Series!$C$2:$C$30,MATCH(C405,Series!$B$2:$B$30,0))&amp;"-"&amp;INDEX(Part_Categories!$A$2:$A$18,MATCH(D405,Part_Categories!$B$2:$B$18,0))&amp;"-01","CHECK")</f>
        <v>MYC-M-OPA-01</v>
      </c>
      <c r="F405" s="16" t="str">
        <f aca="false">E405&amp;".jpg"</f>
        <v>MYC-M-OPA-01.jpg</v>
      </c>
      <c r="G405" s="18" t="str">
        <f aca="false">IFERROR(INDEX(Series!$F$2:$F$30,MATCH(C405,Series!$B$2:$B$30,0)),"")</f>
        <v>2M, 4M, 6M, 8M, 62M, 62M-FM</v>
      </c>
      <c r="H405" s="19"/>
      <c r="I405" s="19"/>
      <c r="J405" s="19"/>
      <c r="K405" s="19" t="s">
        <v>70</v>
      </c>
      <c r="L405" s="19"/>
      <c r="M405" s="19"/>
      <c r="N405" s="19"/>
      <c r="O405" s="18" t="str">
        <f aca="false">C405&amp;" "&amp;D405&amp;" spare part - Efforts Engineers"</f>
        <v>Mycom M Series Oil Pump Assembly spare part - Efforts Engineers</v>
      </c>
      <c r="P405" s="16" t="str">
        <f aca="false">IFERROR("/"&amp;LOWER(B405)&amp;"/"&amp;INDEX(Series!$D$2:$D$30,MATCH(C405,Series!$B$2:$B$30,0))&amp;"/"&amp;INDEX(Part_Categories!$C$2:$C$18,MATCH(D405,Part_Categories!$B$2:$B$18,0)),"CHECK")</f>
        <v>/mycom/m-series/oil-pump-assembly</v>
      </c>
      <c r="Q405" s="19"/>
    </row>
    <row r="406" customFormat="false" ht="23.85" hidden="false" customHeight="false" outlineLevel="0" collapsed="false">
      <c r="A406" s="16" t="n">
        <f aca="false">ROW()-1</f>
        <v>405</v>
      </c>
      <c r="B406" s="17" t="s">
        <v>78</v>
      </c>
      <c r="C406" s="17" t="s">
        <v>128</v>
      </c>
      <c r="D406" s="17" t="s">
        <v>103</v>
      </c>
      <c r="E406" s="16" t="str">
        <f aca="false">IFERROR(INDEX(Lists!$B$2:$B$7,MATCH(B406,Lists!$A$2:$A$7,0))&amp;"-"&amp;INDEX(Series!$C$2:$C$30,MATCH(C406,Series!$B$2:$B$30,0))&amp;"-"&amp;INDEX(Part_Categories!$A$2:$A$18,MATCH(D406,Part_Categories!$B$2:$B$18,0))&amp;"-01","CHECK")</f>
        <v>MYC-M-SHS-01</v>
      </c>
      <c r="F406" s="16" t="str">
        <f aca="false">E406&amp;".jpg"</f>
        <v>MYC-M-SHS-01.jpg</v>
      </c>
      <c r="G406" s="18" t="str">
        <f aca="false">IFERROR(INDEX(Series!$F$2:$F$30,MATCH(C406,Series!$B$2:$B$30,0)),"")</f>
        <v>2M, 4M, 6M, 8M, 62M, 62M-FM</v>
      </c>
      <c r="H406" s="19"/>
      <c r="I406" s="19"/>
      <c r="J406" s="19"/>
      <c r="K406" s="19" t="s">
        <v>70</v>
      </c>
      <c r="L406" s="19"/>
      <c r="M406" s="19"/>
      <c r="N406" s="19"/>
      <c r="O406" s="18" t="str">
        <f aca="false">C406&amp;" "&amp;D406&amp;" spare part - Efforts Engineers"</f>
        <v>Mycom M Series Shaft Seal spare part - Efforts Engineers</v>
      </c>
      <c r="P406" s="16" t="str">
        <f aca="false">IFERROR("/"&amp;LOWER(B406)&amp;"/"&amp;INDEX(Series!$D$2:$D$30,MATCH(C406,Series!$B$2:$B$30,0))&amp;"/"&amp;INDEX(Part_Categories!$C$2:$C$18,MATCH(D406,Part_Categories!$B$2:$B$18,0)),"CHECK")</f>
        <v>/mycom/m-series/shaft-seal</v>
      </c>
      <c r="Q406" s="19"/>
    </row>
    <row r="407" customFormat="false" ht="23.85" hidden="false" customHeight="false" outlineLevel="0" collapsed="false">
      <c r="A407" s="16" t="n">
        <f aca="false">ROW()-1</f>
        <v>406</v>
      </c>
      <c r="B407" s="17" t="s">
        <v>78</v>
      </c>
      <c r="C407" s="17" t="s">
        <v>128</v>
      </c>
      <c r="D407" s="17" t="s">
        <v>104</v>
      </c>
      <c r="E407" s="16" t="str">
        <f aca="false">IFERROR(INDEX(Lists!$B$2:$B$7,MATCH(B407,Lists!$A$2:$A$7,0))&amp;"-"&amp;INDEX(Series!$C$2:$C$30,MATCH(C407,Series!$B$2:$B$30,0))&amp;"-"&amp;INDEX(Part_Categories!$A$2:$A$18,MATCH(D407,Part_Categories!$B$2:$B$18,0))&amp;"-01","CHECK")</f>
        <v>MYC-M-FLT-01</v>
      </c>
      <c r="F407" s="16" t="str">
        <f aca="false">E407&amp;".jpg"</f>
        <v>MYC-M-FLT-01.jpg</v>
      </c>
      <c r="G407" s="18" t="str">
        <f aca="false">IFERROR(INDEX(Series!$F$2:$F$30,MATCH(C407,Series!$B$2:$B$30,0)),"")</f>
        <v>2M, 4M, 6M, 8M, 62M, 62M-FM</v>
      </c>
      <c r="H407" s="19"/>
      <c r="I407" s="19"/>
      <c r="J407" s="19"/>
      <c r="K407" s="19" t="s">
        <v>70</v>
      </c>
      <c r="L407" s="19"/>
      <c r="M407" s="19"/>
      <c r="N407" s="19"/>
      <c r="O407" s="18" t="str">
        <f aca="false">C407&amp;" "&amp;D407&amp;" spare part - Efforts Engineers"</f>
        <v>Mycom M Series Oil Filter and Strainer spare part - Efforts Engineers</v>
      </c>
      <c r="P407" s="16" t="str">
        <f aca="false">IFERROR("/"&amp;LOWER(B407)&amp;"/"&amp;INDEX(Series!$D$2:$D$30,MATCH(C407,Series!$B$2:$B$30,0))&amp;"/"&amp;INDEX(Part_Categories!$C$2:$C$18,MATCH(D407,Part_Categories!$B$2:$B$18,0)),"CHECK")</f>
        <v>/mycom/m-series/oil-filter-and-strainer</v>
      </c>
      <c r="Q407" s="19"/>
    </row>
    <row r="408" customFormat="false" ht="23.85" hidden="false" customHeight="false" outlineLevel="0" collapsed="false">
      <c r="A408" s="16" t="n">
        <f aca="false">ROW()-1</f>
        <v>407</v>
      </c>
      <c r="B408" s="17" t="s">
        <v>78</v>
      </c>
      <c r="C408" s="17" t="s">
        <v>128</v>
      </c>
      <c r="D408" s="17" t="s">
        <v>105</v>
      </c>
      <c r="E408" s="16" t="str">
        <f aca="false">IFERROR(INDEX(Lists!$B$2:$B$7,MATCH(B408,Lists!$A$2:$A$7,0))&amp;"-"&amp;INDEX(Series!$C$2:$C$30,MATCH(C408,Series!$B$2:$B$30,0))&amp;"-"&amp;INDEX(Part_Categories!$A$2:$A$18,MATCH(D408,Part_Categories!$B$2:$B$18,0))&amp;"-01","CHECK")</f>
        <v>MYC-M-ULD-01</v>
      </c>
      <c r="F408" s="16" t="str">
        <f aca="false">E408&amp;".jpg"</f>
        <v>MYC-M-ULD-01.jpg</v>
      </c>
      <c r="G408" s="18" t="str">
        <f aca="false">IFERROR(INDEX(Series!$F$2:$F$30,MATCH(C408,Series!$B$2:$B$30,0)),"")</f>
        <v>2M, 4M, 6M, 8M, 62M, 62M-FM</v>
      </c>
      <c r="H408" s="19"/>
      <c r="I408" s="19"/>
      <c r="J408" s="19"/>
      <c r="K408" s="19" t="s">
        <v>70</v>
      </c>
      <c r="L408" s="19"/>
      <c r="M408" s="19"/>
      <c r="N408" s="19"/>
      <c r="O408" s="18" t="str">
        <f aca="false">C408&amp;" "&amp;D408&amp;" spare part - Efforts Engineers"</f>
        <v>Mycom M Series Unloader and Capacity Control spare part - Efforts Engineers</v>
      </c>
      <c r="P408" s="16" t="str">
        <f aca="false">IFERROR("/"&amp;LOWER(B408)&amp;"/"&amp;INDEX(Series!$D$2:$D$30,MATCH(C408,Series!$B$2:$B$30,0))&amp;"/"&amp;INDEX(Part_Categories!$C$2:$C$18,MATCH(D408,Part_Categories!$B$2:$B$18,0)),"CHECK")</f>
        <v>/mycom/m-series/unloader-and-capacity-control</v>
      </c>
      <c r="Q408" s="19"/>
    </row>
    <row r="409" customFormat="false" ht="23.85" hidden="false" customHeight="false" outlineLevel="0" collapsed="false">
      <c r="A409" s="16" t="n">
        <f aca="false">ROW()-1</f>
        <v>408</v>
      </c>
      <c r="B409" s="17" t="s">
        <v>78</v>
      </c>
      <c r="C409" s="17" t="s">
        <v>128</v>
      </c>
      <c r="D409" s="17" t="s">
        <v>106</v>
      </c>
      <c r="E409" s="16" t="str">
        <f aca="false">IFERROR(INDEX(Lists!$B$2:$B$7,MATCH(B409,Lists!$A$2:$A$7,0))&amp;"-"&amp;INDEX(Series!$C$2:$C$30,MATCH(C409,Series!$B$2:$B$30,0))&amp;"-"&amp;INDEX(Part_Categories!$A$2:$A$18,MATCH(D409,Part_Categories!$B$2:$B$18,0))&amp;"-01","CHECK")</f>
        <v>MYC-M-SAF-01</v>
      </c>
      <c r="F409" s="16" t="str">
        <f aca="false">E409&amp;".jpg"</f>
        <v>MYC-M-SAF-01.jpg</v>
      </c>
      <c r="G409" s="18" t="str">
        <f aca="false">IFERROR(INDEX(Series!$F$2:$F$30,MATCH(C409,Series!$B$2:$B$30,0)),"")</f>
        <v>2M, 4M, 6M, 8M, 62M, 62M-FM</v>
      </c>
      <c r="H409" s="19"/>
      <c r="I409" s="19"/>
      <c r="J409" s="19"/>
      <c r="K409" s="19" t="s">
        <v>70</v>
      </c>
      <c r="L409" s="19"/>
      <c r="M409" s="19"/>
      <c r="N409" s="19"/>
      <c r="O409" s="18" t="str">
        <f aca="false">C409&amp;" "&amp;D409&amp;" spare part - Efforts Engineers"</f>
        <v>Mycom M Series Safety Head and Relief Valve spare part - Efforts Engineers</v>
      </c>
      <c r="P409" s="16" t="str">
        <f aca="false">IFERROR("/"&amp;LOWER(B409)&amp;"/"&amp;INDEX(Series!$D$2:$D$30,MATCH(C409,Series!$B$2:$B$30,0))&amp;"/"&amp;INDEX(Part_Categories!$C$2:$C$18,MATCH(D409,Part_Categories!$B$2:$B$18,0)),"CHECK")</f>
        <v>/mycom/m-series/safety-head-and-relief-valve</v>
      </c>
      <c r="Q409" s="19"/>
    </row>
    <row r="410" customFormat="false" ht="23.85" hidden="false" customHeight="false" outlineLevel="0" collapsed="false">
      <c r="A410" s="16" t="n">
        <f aca="false">ROW()-1</f>
        <v>409</v>
      </c>
      <c r="B410" s="17" t="s">
        <v>78</v>
      </c>
      <c r="C410" s="17" t="s">
        <v>129</v>
      </c>
      <c r="D410" s="17" t="s">
        <v>58</v>
      </c>
      <c r="E410" s="16" t="str">
        <f aca="false">IFERROR(INDEX(Lists!$B$2:$B$7,MATCH(B410,Lists!$A$2:$A$7,0))&amp;"-"&amp;INDEX(Series!$C$2:$C$30,MATCH(C410,Series!$B$2:$B$30,0))&amp;"-"&amp;INDEX(Part_Categories!$A$2:$A$18,MATCH(D410,Part_Categories!$B$2:$B$18,0))&amp;"-01","CHECK")</f>
        <v>MYC-J-CLN-01</v>
      </c>
      <c r="F410" s="16" t="str">
        <f aca="false">E410&amp;".jpg"</f>
        <v>MYC-J-CLN-01.jpg</v>
      </c>
      <c r="G410" s="18" t="str">
        <f aca="false">IFERROR(INDEX(Series!$F$2:$F$30,MATCH(C410,Series!$B$2:$B$30,0)),"")</f>
        <v>6J2, J series (other sizes to add)</v>
      </c>
      <c r="H410" s="19"/>
      <c r="I410" s="19"/>
      <c r="J410" s="19"/>
      <c r="K410" s="19" t="s">
        <v>70</v>
      </c>
      <c r="L410" s="19"/>
      <c r="M410" s="19"/>
      <c r="N410" s="19"/>
      <c r="O410" s="18" t="str">
        <f aca="false">C410&amp;" "&amp;D410&amp;" spare part - Efforts Engineers"</f>
        <v>Mycom J Series Cylinder Liner spare part - Efforts Engineers</v>
      </c>
      <c r="P410" s="16" t="str">
        <f aca="false">IFERROR("/"&amp;LOWER(B410)&amp;"/"&amp;INDEX(Series!$D$2:$D$30,MATCH(C410,Series!$B$2:$B$30,0))&amp;"/"&amp;INDEX(Part_Categories!$C$2:$C$18,MATCH(D410,Part_Categories!$B$2:$B$18,0)),"CHECK")</f>
        <v>/mycom/j-series/cylinder-liner</v>
      </c>
      <c r="Q410" s="19"/>
    </row>
    <row r="411" customFormat="false" ht="23.85" hidden="false" customHeight="false" outlineLevel="0" collapsed="false">
      <c r="A411" s="16" t="n">
        <f aca="false">ROW()-1</f>
        <v>410</v>
      </c>
      <c r="B411" s="17" t="s">
        <v>78</v>
      </c>
      <c r="C411" s="17" t="s">
        <v>129</v>
      </c>
      <c r="D411" s="17" t="s">
        <v>91</v>
      </c>
      <c r="E411" s="16" t="str">
        <f aca="false">IFERROR(INDEX(Lists!$B$2:$B$7,MATCH(B411,Lists!$A$2:$A$7,0))&amp;"-"&amp;INDEX(Series!$C$2:$C$30,MATCH(C411,Series!$B$2:$B$30,0))&amp;"-"&amp;INDEX(Part_Categories!$A$2:$A$18,MATCH(D411,Part_Categories!$B$2:$B$18,0))&amp;"-01","CHECK")</f>
        <v>MYC-J-PST-01</v>
      </c>
      <c r="F411" s="16" t="str">
        <f aca="false">E411&amp;".jpg"</f>
        <v>MYC-J-PST-01.jpg</v>
      </c>
      <c r="G411" s="18" t="str">
        <f aca="false">IFERROR(INDEX(Series!$F$2:$F$30,MATCH(C411,Series!$B$2:$B$30,0)),"")</f>
        <v>6J2, J series (other sizes to add)</v>
      </c>
      <c r="H411" s="19"/>
      <c r="I411" s="19"/>
      <c r="J411" s="19"/>
      <c r="K411" s="19" t="s">
        <v>70</v>
      </c>
      <c r="L411" s="19"/>
      <c r="M411" s="19"/>
      <c r="N411" s="19"/>
      <c r="O411" s="18" t="str">
        <f aca="false">C411&amp;" "&amp;D411&amp;" spare part - Efforts Engineers"</f>
        <v>Mycom J Series Piston Assembly spare part - Efforts Engineers</v>
      </c>
      <c r="P411" s="16" t="str">
        <f aca="false">IFERROR("/"&amp;LOWER(B411)&amp;"/"&amp;INDEX(Series!$D$2:$D$30,MATCH(C411,Series!$B$2:$B$30,0))&amp;"/"&amp;INDEX(Part_Categories!$C$2:$C$18,MATCH(D411,Part_Categories!$B$2:$B$18,0)),"CHECK")</f>
        <v>/mycom/j-series/piston-assembly</v>
      </c>
      <c r="Q411" s="19"/>
    </row>
    <row r="412" customFormat="false" ht="23.85" hidden="false" customHeight="false" outlineLevel="0" collapsed="false">
      <c r="A412" s="16" t="n">
        <f aca="false">ROW()-1</f>
        <v>411</v>
      </c>
      <c r="B412" s="17" t="s">
        <v>78</v>
      </c>
      <c r="C412" s="17" t="s">
        <v>129</v>
      </c>
      <c r="D412" s="17" t="s">
        <v>92</v>
      </c>
      <c r="E412" s="16" t="str">
        <f aca="false">IFERROR(INDEX(Lists!$B$2:$B$7,MATCH(B412,Lists!$A$2:$A$7,0))&amp;"-"&amp;INDEX(Series!$C$2:$C$30,MATCH(C412,Series!$B$2:$B$30,0))&amp;"-"&amp;INDEX(Part_Categories!$A$2:$A$18,MATCH(D412,Part_Categories!$B$2:$B$18,0))&amp;"-01","CHECK")</f>
        <v>MYC-J-PRG-01</v>
      </c>
      <c r="F412" s="16" t="str">
        <f aca="false">E412&amp;".jpg"</f>
        <v>MYC-J-PRG-01.jpg</v>
      </c>
      <c r="G412" s="18" t="str">
        <f aca="false">IFERROR(INDEX(Series!$F$2:$F$30,MATCH(C412,Series!$B$2:$B$30,0)),"")</f>
        <v>6J2, J series (other sizes to add)</v>
      </c>
      <c r="H412" s="19"/>
      <c r="I412" s="19"/>
      <c r="J412" s="19"/>
      <c r="K412" s="19" t="s">
        <v>70</v>
      </c>
      <c r="L412" s="19"/>
      <c r="M412" s="19"/>
      <c r="N412" s="19"/>
      <c r="O412" s="18" t="str">
        <f aca="false">C412&amp;" "&amp;D412&amp;" spare part - Efforts Engineers"</f>
        <v>Mycom J Series Piston Ring Set spare part - Efforts Engineers</v>
      </c>
      <c r="P412" s="16" t="str">
        <f aca="false">IFERROR("/"&amp;LOWER(B412)&amp;"/"&amp;INDEX(Series!$D$2:$D$30,MATCH(C412,Series!$B$2:$B$30,0))&amp;"/"&amp;INDEX(Part_Categories!$C$2:$C$18,MATCH(D412,Part_Categories!$B$2:$B$18,0)),"CHECK")</f>
        <v>/mycom/j-series/piston-ring-set</v>
      </c>
      <c r="Q412" s="19"/>
    </row>
    <row r="413" customFormat="false" ht="23.85" hidden="false" customHeight="false" outlineLevel="0" collapsed="false">
      <c r="A413" s="16" t="n">
        <f aca="false">ROW()-1</f>
        <v>412</v>
      </c>
      <c r="B413" s="17" t="s">
        <v>78</v>
      </c>
      <c r="C413" s="17" t="s">
        <v>129</v>
      </c>
      <c r="D413" s="17" t="s">
        <v>93</v>
      </c>
      <c r="E413" s="16" t="str">
        <f aca="false">IFERROR(INDEX(Lists!$B$2:$B$7,MATCH(B413,Lists!$A$2:$A$7,0))&amp;"-"&amp;INDEX(Series!$C$2:$C$30,MATCH(C413,Series!$B$2:$B$30,0))&amp;"-"&amp;INDEX(Part_Categories!$A$2:$A$18,MATCH(D413,Part_Categories!$B$2:$B$18,0))&amp;"-01","CHECK")</f>
        <v>MYC-J-CRD-01</v>
      </c>
      <c r="F413" s="16" t="str">
        <f aca="false">E413&amp;".jpg"</f>
        <v>MYC-J-CRD-01.jpg</v>
      </c>
      <c r="G413" s="18" t="str">
        <f aca="false">IFERROR(INDEX(Series!$F$2:$F$30,MATCH(C413,Series!$B$2:$B$30,0)),"")</f>
        <v>6J2, J series (other sizes to add)</v>
      </c>
      <c r="H413" s="19"/>
      <c r="I413" s="19"/>
      <c r="J413" s="19"/>
      <c r="K413" s="19" t="s">
        <v>70</v>
      </c>
      <c r="L413" s="19"/>
      <c r="M413" s="19"/>
      <c r="N413" s="19"/>
      <c r="O413" s="18" t="str">
        <f aca="false">C413&amp;" "&amp;D413&amp;" spare part - Efforts Engineers"</f>
        <v>Mycom J Series Connecting Rod spare part - Efforts Engineers</v>
      </c>
      <c r="P413" s="16" t="str">
        <f aca="false">IFERROR("/"&amp;LOWER(B413)&amp;"/"&amp;INDEX(Series!$D$2:$D$30,MATCH(C413,Series!$B$2:$B$30,0))&amp;"/"&amp;INDEX(Part_Categories!$C$2:$C$18,MATCH(D413,Part_Categories!$B$2:$B$18,0)),"CHECK")</f>
        <v>/mycom/j-series/connecting-rod</v>
      </c>
      <c r="Q413" s="19"/>
    </row>
    <row r="414" customFormat="false" ht="23.85" hidden="false" customHeight="false" outlineLevel="0" collapsed="false">
      <c r="A414" s="16" t="n">
        <f aca="false">ROW()-1</f>
        <v>413</v>
      </c>
      <c r="B414" s="17" t="s">
        <v>78</v>
      </c>
      <c r="C414" s="17" t="s">
        <v>129</v>
      </c>
      <c r="D414" s="17" t="s">
        <v>94</v>
      </c>
      <c r="E414" s="16" t="str">
        <f aca="false">IFERROR(INDEX(Lists!$B$2:$B$7,MATCH(B414,Lists!$A$2:$A$7,0))&amp;"-"&amp;INDEX(Series!$C$2:$C$30,MATCH(C414,Series!$B$2:$B$30,0))&amp;"-"&amp;INDEX(Part_Categories!$A$2:$A$18,MATCH(D414,Part_Categories!$B$2:$B$18,0))&amp;"-01","CHECK")</f>
        <v>MYC-J-CRK-01</v>
      </c>
      <c r="F414" s="16" t="str">
        <f aca="false">E414&amp;".jpg"</f>
        <v>MYC-J-CRK-01.jpg</v>
      </c>
      <c r="G414" s="18" t="str">
        <f aca="false">IFERROR(INDEX(Series!$F$2:$F$30,MATCH(C414,Series!$B$2:$B$30,0)),"")</f>
        <v>6J2, J series (other sizes to add)</v>
      </c>
      <c r="H414" s="19"/>
      <c r="I414" s="19"/>
      <c r="J414" s="19"/>
      <c r="K414" s="19" t="s">
        <v>70</v>
      </c>
      <c r="L414" s="19"/>
      <c r="M414" s="19"/>
      <c r="N414" s="19"/>
      <c r="O414" s="18" t="str">
        <f aca="false">C414&amp;" "&amp;D414&amp;" spare part - Efforts Engineers"</f>
        <v>Mycom J Series Crankshaft spare part - Efforts Engineers</v>
      </c>
      <c r="P414" s="16" t="str">
        <f aca="false">IFERROR("/"&amp;LOWER(B414)&amp;"/"&amp;INDEX(Series!$D$2:$D$30,MATCH(C414,Series!$B$2:$B$30,0))&amp;"/"&amp;INDEX(Part_Categories!$C$2:$C$18,MATCH(D414,Part_Categories!$B$2:$B$18,0)),"CHECK")</f>
        <v>/mycom/j-series/crankshaft</v>
      </c>
      <c r="Q414" s="19"/>
    </row>
    <row r="415" customFormat="false" ht="23.85" hidden="false" customHeight="false" outlineLevel="0" collapsed="false">
      <c r="A415" s="16" t="n">
        <f aca="false">ROW()-1</f>
        <v>414</v>
      </c>
      <c r="B415" s="17" t="s">
        <v>78</v>
      </c>
      <c r="C415" s="17" t="s">
        <v>129</v>
      </c>
      <c r="D415" s="17" t="s">
        <v>95</v>
      </c>
      <c r="E415" s="16" t="str">
        <f aca="false">IFERROR(INDEX(Lists!$B$2:$B$7,MATCH(B415,Lists!$A$2:$A$7,0))&amp;"-"&amp;INDEX(Series!$C$2:$C$30,MATCH(C415,Series!$B$2:$B$30,0))&amp;"-"&amp;INDEX(Part_Categories!$A$2:$A$18,MATCH(D415,Part_Categories!$B$2:$B$18,0))&amp;"-01","CHECK")</f>
        <v>MYC-J-PIN-01</v>
      </c>
      <c r="F415" s="16" t="str">
        <f aca="false">E415&amp;".jpg"</f>
        <v>MYC-J-PIN-01.jpg</v>
      </c>
      <c r="G415" s="18" t="str">
        <f aca="false">IFERROR(INDEX(Series!$F$2:$F$30,MATCH(C415,Series!$B$2:$B$30,0)),"")</f>
        <v>6J2, J series (other sizes to add)</v>
      </c>
      <c r="H415" s="19"/>
      <c r="I415" s="19"/>
      <c r="J415" s="19"/>
      <c r="K415" s="19" t="s">
        <v>70</v>
      </c>
      <c r="L415" s="19"/>
      <c r="M415" s="19"/>
      <c r="N415" s="19"/>
      <c r="O415" s="18" t="str">
        <f aca="false">C415&amp;" "&amp;D415&amp;" spare part - Efforts Engineers"</f>
        <v>Mycom J Series Gudgeon Pin and Bush spare part - Efforts Engineers</v>
      </c>
      <c r="P415" s="16" t="str">
        <f aca="false">IFERROR("/"&amp;LOWER(B415)&amp;"/"&amp;INDEX(Series!$D$2:$D$30,MATCH(C415,Series!$B$2:$B$30,0))&amp;"/"&amp;INDEX(Part_Categories!$C$2:$C$18,MATCH(D415,Part_Categories!$B$2:$B$18,0)),"CHECK")</f>
        <v>/mycom/j-series/gudgeon-pin-and-bush</v>
      </c>
      <c r="Q415" s="19"/>
    </row>
    <row r="416" customFormat="false" ht="23.85" hidden="false" customHeight="false" outlineLevel="0" collapsed="false">
      <c r="A416" s="16" t="n">
        <f aca="false">ROW()-1</f>
        <v>415</v>
      </c>
      <c r="B416" s="17" t="s">
        <v>78</v>
      </c>
      <c r="C416" s="17" t="s">
        <v>129</v>
      </c>
      <c r="D416" s="17" t="s">
        <v>96</v>
      </c>
      <c r="E416" s="16" t="str">
        <f aca="false">IFERROR(INDEX(Lists!$B$2:$B$7,MATCH(B416,Lists!$A$2:$A$7,0))&amp;"-"&amp;INDEX(Series!$C$2:$C$30,MATCH(C416,Series!$B$2:$B$30,0))&amp;"-"&amp;INDEX(Part_Categories!$A$2:$A$18,MATCH(D416,Part_Categories!$B$2:$B$18,0))&amp;"-01","CHECK")</f>
        <v>MYC-J-BRG-01</v>
      </c>
      <c r="F416" s="16" t="str">
        <f aca="false">E416&amp;".jpg"</f>
        <v>MYC-J-BRG-01.jpg</v>
      </c>
      <c r="G416" s="18" t="str">
        <f aca="false">IFERROR(INDEX(Series!$F$2:$F$30,MATCH(C416,Series!$B$2:$B$30,0)),"")</f>
        <v>6J2, J series (other sizes to add)</v>
      </c>
      <c r="H416" s="19"/>
      <c r="I416" s="19"/>
      <c r="J416" s="19"/>
      <c r="K416" s="19" t="s">
        <v>70</v>
      </c>
      <c r="L416" s="19"/>
      <c r="M416" s="19"/>
      <c r="N416" s="19"/>
      <c r="O416" s="18" t="str">
        <f aca="false">C416&amp;" "&amp;D416&amp;" spare part - Efforts Engineers"</f>
        <v>Mycom J Series Main Bearing and Bush spare part - Efforts Engineers</v>
      </c>
      <c r="P416" s="16" t="str">
        <f aca="false">IFERROR("/"&amp;LOWER(B416)&amp;"/"&amp;INDEX(Series!$D$2:$D$30,MATCH(C416,Series!$B$2:$B$30,0))&amp;"/"&amp;INDEX(Part_Categories!$C$2:$C$18,MATCH(D416,Part_Categories!$B$2:$B$18,0)),"CHECK")</f>
        <v>/mycom/j-series/main-bearing-and-bush</v>
      </c>
      <c r="Q416" s="19"/>
    </row>
    <row r="417" customFormat="false" ht="23.85" hidden="false" customHeight="false" outlineLevel="0" collapsed="false">
      <c r="A417" s="16" t="n">
        <f aca="false">ROW()-1</f>
        <v>416</v>
      </c>
      <c r="B417" s="17" t="s">
        <v>78</v>
      </c>
      <c r="C417" s="17" t="s">
        <v>129</v>
      </c>
      <c r="D417" s="17" t="s">
        <v>97</v>
      </c>
      <c r="E417" s="16" t="str">
        <f aca="false">IFERROR(INDEX(Lists!$B$2:$B$7,MATCH(B417,Lists!$A$2:$A$7,0))&amp;"-"&amp;INDEX(Series!$C$2:$C$30,MATCH(C417,Series!$B$2:$B$30,0))&amp;"-"&amp;INDEX(Part_Categories!$A$2:$A$18,MATCH(D417,Part_Categories!$B$2:$B$18,0))&amp;"-01","CHECK")</f>
        <v>MYC-J-SVP-01</v>
      </c>
      <c r="F417" s="16" t="str">
        <f aca="false">E417&amp;".jpg"</f>
        <v>MYC-J-SVP-01.jpg</v>
      </c>
      <c r="G417" s="18" t="str">
        <f aca="false">IFERROR(INDEX(Series!$F$2:$F$30,MATCH(C417,Series!$B$2:$B$30,0)),"")</f>
        <v>6J2, J series (other sizes to add)</v>
      </c>
      <c r="H417" s="19"/>
      <c r="I417" s="19"/>
      <c r="J417" s="19"/>
      <c r="K417" s="19" t="s">
        <v>70</v>
      </c>
      <c r="L417" s="19"/>
      <c r="M417" s="19"/>
      <c r="N417" s="19"/>
      <c r="O417" s="18" t="str">
        <f aca="false">C417&amp;" "&amp;D417&amp;" spare part - Efforts Engineers"</f>
        <v>Mycom J Series Suction Valve Plate spare part - Efforts Engineers</v>
      </c>
      <c r="P417" s="16" t="str">
        <f aca="false">IFERROR("/"&amp;LOWER(B417)&amp;"/"&amp;INDEX(Series!$D$2:$D$30,MATCH(C417,Series!$B$2:$B$30,0))&amp;"/"&amp;INDEX(Part_Categories!$C$2:$C$18,MATCH(D417,Part_Categories!$B$2:$B$18,0)),"CHECK")</f>
        <v>/mycom/j-series/suction-valve-plate</v>
      </c>
      <c r="Q417" s="19"/>
    </row>
    <row r="418" customFormat="false" ht="23.85" hidden="false" customHeight="false" outlineLevel="0" collapsed="false">
      <c r="A418" s="16" t="n">
        <f aca="false">ROW()-1</f>
        <v>417</v>
      </c>
      <c r="B418" s="17" t="s">
        <v>78</v>
      </c>
      <c r="C418" s="17" t="s">
        <v>129</v>
      </c>
      <c r="D418" s="17" t="s">
        <v>98</v>
      </c>
      <c r="E418" s="16" t="str">
        <f aca="false">IFERROR(INDEX(Lists!$B$2:$B$7,MATCH(B418,Lists!$A$2:$A$7,0))&amp;"-"&amp;INDEX(Series!$C$2:$C$30,MATCH(C418,Series!$B$2:$B$30,0))&amp;"-"&amp;INDEX(Part_Categories!$A$2:$A$18,MATCH(D418,Part_Categories!$B$2:$B$18,0))&amp;"-01","CHECK")</f>
        <v>MYC-J-DVA-01</v>
      </c>
      <c r="F418" s="16" t="str">
        <f aca="false">E418&amp;".jpg"</f>
        <v>MYC-J-DVA-01.jpg</v>
      </c>
      <c r="G418" s="18" t="str">
        <f aca="false">IFERROR(INDEX(Series!$F$2:$F$30,MATCH(C418,Series!$B$2:$B$30,0)),"")</f>
        <v>6J2, J series (other sizes to add)</v>
      </c>
      <c r="H418" s="19"/>
      <c r="I418" s="19"/>
      <c r="J418" s="19"/>
      <c r="K418" s="19" t="s">
        <v>70</v>
      </c>
      <c r="L418" s="19"/>
      <c r="M418" s="19"/>
      <c r="N418" s="19"/>
      <c r="O418" s="18" t="str">
        <f aca="false">C418&amp;" "&amp;D418&amp;" spare part - Efforts Engineers"</f>
        <v>Mycom J Series Discharge Valve Assembly spare part - Efforts Engineers</v>
      </c>
      <c r="P418" s="16" t="str">
        <f aca="false">IFERROR("/"&amp;LOWER(B418)&amp;"/"&amp;INDEX(Series!$D$2:$D$30,MATCH(C418,Series!$B$2:$B$30,0))&amp;"/"&amp;INDEX(Part_Categories!$C$2:$C$18,MATCH(D418,Part_Categories!$B$2:$B$18,0)),"CHECK")</f>
        <v>/mycom/j-series/discharge-valve-assembly</v>
      </c>
      <c r="Q418" s="19"/>
    </row>
    <row r="419" customFormat="false" ht="23.85" hidden="false" customHeight="false" outlineLevel="0" collapsed="false">
      <c r="A419" s="16" t="n">
        <f aca="false">ROW()-1</f>
        <v>418</v>
      </c>
      <c r="B419" s="17" t="s">
        <v>78</v>
      </c>
      <c r="C419" s="17" t="s">
        <v>129</v>
      </c>
      <c r="D419" s="17" t="s">
        <v>99</v>
      </c>
      <c r="E419" s="16" t="str">
        <f aca="false">IFERROR(INDEX(Lists!$B$2:$B$7,MATCH(B419,Lists!$A$2:$A$7,0))&amp;"-"&amp;INDEX(Series!$C$2:$C$30,MATCH(C419,Series!$B$2:$B$30,0))&amp;"-"&amp;INDEX(Part_Categories!$A$2:$A$18,MATCH(D419,Part_Categories!$B$2:$B$18,0))&amp;"-01","CHECK")</f>
        <v>MYC-J-VSP-01</v>
      </c>
      <c r="F419" s="16" t="str">
        <f aca="false">E419&amp;".jpg"</f>
        <v>MYC-J-VSP-01.jpg</v>
      </c>
      <c r="G419" s="18" t="str">
        <f aca="false">IFERROR(INDEX(Series!$F$2:$F$30,MATCH(C419,Series!$B$2:$B$30,0)),"")</f>
        <v>6J2, J series (other sizes to add)</v>
      </c>
      <c r="H419" s="19"/>
      <c r="I419" s="19"/>
      <c r="J419" s="19"/>
      <c r="K419" s="19" t="s">
        <v>70</v>
      </c>
      <c r="L419" s="19"/>
      <c r="M419" s="19"/>
      <c r="N419" s="19"/>
      <c r="O419" s="18" t="str">
        <f aca="false">C419&amp;" "&amp;D419&amp;" spare part - Efforts Engineers"</f>
        <v>Mycom J Series Valve Spring and Cage spare part - Efforts Engineers</v>
      </c>
      <c r="P419" s="16" t="str">
        <f aca="false">IFERROR("/"&amp;LOWER(B419)&amp;"/"&amp;INDEX(Series!$D$2:$D$30,MATCH(C419,Series!$B$2:$B$30,0))&amp;"/"&amp;INDEX(Part_Categories!$C$2:$C$18,MATCH(D419,Part_Categories!$B$2:$B$18,0)),"CHECK")</f>
        <v>/mycom/j-series/valve-spring-and-cage</v>
      </c>
      <c r="Q419" s="19"/>
    </row>
    <row r="420" customFormat="false" ht="23.85" hidden="false" customHeight="false" outlineLevel="0" collapsed="false">
      <c r="A420" s="16" t="n">
        <f aca="false">ROW()-1</f>
        <v>419</v>
      </c>
      <c r="B420" s="17" t="s">
        <v>78</v>
      </c>
      <c r="C420" s="17" t="s">
        <v>129</v>
      </c>
      <c r="D420" s="17" t="s">
        <v>100</v>
      </c>
      <c r="E420" s="16" t="str">
        <f aca="false">IFERROR(INDEX(Lists!$B$2:$B$7,MATCH(B420,Lists!$A$2:$A$7,0))&amp;"-"&amp;INDEX(Series!$C$2:$C$30,MATCH(C420,Series!$B$2:$B$30,0))&amp;"-"&amp;INDEX(Part_Categories!$A$2:$A$18,MATCH(D420,Part_Categories!$B$2:$B$18,0))&amp;"-01","CHECK")</f>
        <v>MYC-J-HDC-01</v>
      </c>
      <c r="F420" s="16" t="str">
        <f aca="false">E420&amp;".jpg"</f>
        <v>MYC-J-HDC-01.jpg</v>
      </c>
      <c r="G420" s="18" t="str">
        <f aca="false">IFERROR(INDEX(Series!$F$2:$F$30,MATCH(C420,Series!$B$2:$B$30,0)),"")</f>
        <v>6J2, J series (other sizes to add)</v>
      </c>
      <c r="H420" s="19"/>
      <c r="I420" s="19"/>
      <c r="J420" s="19"/>
      <c r="K420" s="19" t="s">
        <v>70</v>
      </c>
      <c r="L420" s="19"/>
      <c r="M420" s="19"/>
      <c r="N420" s="19"/>
      <c r="O420" s="18" t="str">
        <f aca="false">C420&amp;" "&amp;D420&amp;" spare part - Efforts Engineers"</f>
        <v>Mycom J Series Cylinder Head Cover spare part - Efforts Engineers</v>
      </c>
      <c r="P420" s="16" t="str">
        <f aca="false">IFERROR("/"&amp;LOWER(B420)&amp;"/"&amp;INDEX(Series!$D$2:$D$30,MATCH(C420,Series!$B$2:$B$30,0))&amp;"/"&amp;INDEX(Part_Categories!$C$2:$C$18,MATCH(D420,Part_Categories!$B$2:$B$18,0)),"CHECK")</f>
        <v>/mycom/j-series/cylinder-head-cover</v>
      </c>
      <c r="Q420" s="19"/>
    </row>
    <row r="421" customFormat="false" ht="23.85" hidden="false" customHeight="false" outlineLevel="0" collapsed="false">
      <c r="A421" s="16" t="n">
        <f aca="false">ROW()-1</f>
        <v>420</v>
      </c>
      <c r="B421" s="17" t="s">
        <v>78</v>
      </c>
      <c r="C421" s="17" t="s">
        <v>129</v>
      </c>
      <c r="D421" s="17" t="s">
        <v>101</v>
      </c>
      <c r="E421" s="16" t="str">
        <f aca="false">IFERROR(INDEX(Lists!$B$2:$B$7,MATCH(B421,Lists!$A$2:$A$7,0))&amp;"-"&amp;INDEX(Series!$C$2:$C$30,MATCH(C421,Series!$B$2:$B$30,0))&amp;"-"&amp;INDEX(Part_Categories!$A$2:$A$18,MATCH(D421,Part_Categories!$B$2:$B$18,0))&amp;"-01","CHECK")</f>
        <v>MYC-J-GSK-01</v>
      </c>
      <c r="F421" s="16" t="str">
        <f aca="false">E421&amp;".jpg"</f>
        <v>MYC-J-GSK-01.jpg</v>
      </c>
      <c r="G421" s="18" t="str">
        <f aca="false">IFERROR(INDEX(Series!$F$2:$F$30,MATCH(C421,Series!$B$2:$B$30,0)),"")</f>
        <v>6J2, J series (other sizes to add)</v>
      </c>
      <c r="H421" s="19"/>
      <c r="I421" s="19"/>
      <c r="J421" s="19"/>
      <c r="K421" s="19" t="s">
        <v>70</v>
      </c>
      <c r="L421" s="19"/>
      <c r="M421" s="19"/>
      <c r="N421" s="19"/>
      <c r="O421" s="18" t="str">
        <f aca="false">C421&amp;" "&amp;D421&amp;" spare part - Efforts Engineers"</f>
        <v>Mycom J Series Gasket and Overhaul Kit spare part - Efforts Engineers</v>
      </c>
      <c r="P421" s="16" t="str">
        <f aca="false">IFERROR("/"&amp;LOWER(B421)&amp;"/"&amp;INDEX(Series!$D$2:$D$30,MATCH(C421,Series!$B$2:$B$30,0))&amp;"/"&amp;INDEX(Part_Categories!$C$2:$C$18,MATCH(D421,Part_Categories!$B$2:$B$18,0)),"CHECK")</f>
        <v>/mycom/j-series/gasket-and-overhaul-kit</v>
      </c>
      <c r="Q421" s="19"/>
    </row>
    <row r="422" customFormat="false" ht="23.85" hidden="false" customHeight="false" outlineLevel="0" collapsed="false">
      <c r="A422" s="16" t="n">
        <f aca="false">ROW()-1</f>
        <v>421</v>
      </c>
      <c r="B422" s="17" t="s">
        <v>78</v>
      </c>
      <c r="C422" s="17" t="s">
        <v>129</v>
      </c>
      <c r="D422" s="17" t="s">
        <v>102</v>
      </c>
      <c r="E422" s="16" t="str">
        <f aca="false">IFERROR(INDEX(Lists!$B$2:$B$7,MATCH(B422,Lists!$A$2:$A$7,0))&amp;"-"&amp;INDEX(Series!$C$2:$C$30,MATCH(C422,Series!$B$2:$B$30,0))&amp;"-"&amp;INDEX(Part_Categories!$A$2:$A$18,MATCH(D422,Part_Categories!$B$2:$B$18,0))&amp;"-01","CHECK")</f>
        <v>MYC-J-OPA-01</v>
      </c>
      <c r="F422" s="16" t="str">
        <f aca="false">E422&amp;".jpg"</f>
        <v>MYC-J-OPA-01.jpg</v>
      </c>
      <c r="G422" s="18" t="str">
        <f aca="false">IFERROR(INDEX(Series!$F$2:$F$30,MATCH(C422,Series!$B$2:$B$30,0)),"")</f>
        <v>6J2, J series (other sizes to add)</v>
      </c>
      <c r="H422" s="19"/>
      <c r="I422" s="19"/>
      <c r="J422" s="19"/>
      <c r="K422" s="19" t="s">
        <v>70</v>
      </c>
      <c r="L422" s="19"/>
      <c r="M422" s="19"/>
      <c r="N422" s="19"/>
      <c r="O422" s="18" t="str">
        <f aca="false">C422&amp;" "&amp;D422&amp;" spare part - Efforts Engineers"</f>
        <v>Mycom J Series Oil Pump Assembly spare part - Efforts Engineers</v>
      </c>
      <c r="P422" s="16" t="str">
        <f aca="false">IFERROR("/"&amp;LOWER(B422)&amp;"/"&amp;INDEX(Series!$D$2:$D$30,MATCH(C422,Series!$B$2:$B$30,0))&amp;"/"&amp;INDEX(Part_Categories!$C$2:$C$18,MATCH(D422,Part_Categories!$B$2:$B$18,0)),"CHECK")</f>
        <v>/mycom/j-series/oil-pump-assembly</v>
      </c>
      <c r="Q422" s="19"/>
    </row>
    <row r="423" customFormat="false" ht="23.85" hidden="false" customHeight="false" outlineLevel="0" collapsed="false">
      <c r="A423" s="16" t="n">
        <f aca="false">ROW()-1</f>
        <v>422</v>
      </c>
      <c r="B423" s="17" t="s">
        <v>78</v>
      </c>
      <c r="C423" s="17" t="s">
        <v>129</v>
      </c>
      <c r="D423" s="17" t="s">
        <v>103</v>
      </c>
      <c r="E423" s="16" t="str">
        <f aca="false">IFERROR(INDEX(Lists!$B$2:$B$7,MATCH(B423,Lists!$A$2:$A$7,0))&amp;"-"&amp;INDEX(Series!$C$2:$C$30,MATCH(C423,Series!$B$2:$B$30,0))&amp;"-"&amp;INDEX(Part_Categories!$A$2:$A$18,MATCH(D423,Part_Categories!$B$2:$B$18,0))&amp;"-01","CHECK")</f>
        <v>MYC-J-SHS-01</v>
      </c>
      <c r="F423" s="16" t="str">
        <f aca="false">E423&amp;".jpg"</f>
        <v>MYC-J-SHS-01.jpg</v>
      </c>
      <c r="G423" s="18" t="str">
        <f aca="false">IFERROR(INDEX(Series!$F$2:$F$30,MATCH(C423,Series!$B$2:$B$30,0)),"")</f>
        <v>6J2, J series (other sizes to add)</v>
      </c>
      <c r="H423" s="19"/>
      <c r="I423" s="19"/>
      <c r="J423" s="19"/>
      <c r="K423" s="19" t="s">
        <v>70</v>
      </c>
      <c r="L423" s="19"/>
      <c r="M423" s="19"/>
      <c r="N423" s="19"/>
      <c r="O423" s="18" t="str">
        <f aca="false">C423&amp;" "&amp;D423&amp;" spare part - Efforts Engineers"</f>
        <v>Mycom J Series Shaft Seal spare part - Efforts Engineers</v>
      </c>
      <c r="P423" s="16" t="str">
        <f aca="false">IFERROR("/"&amp;LOWER(B423)&amp;"/"&amp;INDEX(Series!$D$2:$D$30,MATCH(C423,Series!$B$2:$B$30,0))&amp;"/"&amp;INDEX(Part_Categories!$C$2:$C$18,MATCH(D423,Part_Categories!$B$2:$B$18,0)),"CHECK")</f>
        <v>/mycom/j-series/shaft-seal</v>
      </c>
      <c r="Q423" s="19"/>
    </row>
    <row r="424" customFormat="false" ht="23.85" hidden="false" customHeight="false" outlineLevel="0" collapsed="false">
      <c r="A424" s="16" t="n">
        <f aca="false">ROW()-1</f>
        <v>423</v>
      </c>
      <c r="B424" s="17" t="s">
        <v>78</v>
      </c>
      <c r="C424" s="17" t="s">
        <v>129</v>
      </c>
      <c r="D424" s="17" t="s">
        <v>104</v>
      </c>
      <c r="E424" s="16" t="str">
        <f aca="false">IFERROR(INDEX(Lists!$B$2:$B$7,MATCH(B424,Lists!$A$2:$A$7,0))&amp;"-"&amp;INDEX(Series!$C$2:$C$30,MATCH(C424,Series!$B$2:$B$30,0))&amp;"-"&amp;INDEX(Part_Categories!$A$2:$A$18,MATCH(D424,Part_Categories!$B$2:$B$18,0))&amp;"-01","CHECK")</f>
        <v>MYC-J-FLT-01</v>
      </c>
      <c r="F424" s="16" t="str">
        <f aca="false">E424&amp;".jpg"</f>
        <v>MYC-J-FLT-01.jpg</v>
      </c>
      <c r="G424" s="18" t="str">
        <f aca="false">IFERROR(INDEX(Series!$F$2:$F$30,MATCH(C424,Series!$B$2:$B$30,0)),"")</f>
        <v>6J2, J series (other sizes to add)</v>
      </c>
      <c r="H424" s="19"/>
      <c r="I424" s="19"/>
      <c r="J424" s="19"/>
      <c r="K424" s="19" t="s">
        <v>70</v>
      </c>
      <c r="L424" s="19"/>
      <c r="M424" s="19"/>
      <c r="N424" s="19"/>
      <c r="O424" s="18" t="str">
        <f aca="false">C424&amp;" "&amp;D424&amp;" spare part - Efforts Engineers"</f>
        <v>Mycom J Series Oil Filter and Strainer spare part - Efforts Engineers</v>
      </c>
      <c r="P424" s="16" t="str">
        <f aca="false">IFERROR("/"&amp;LOWER(B424)&amp;"/"&amp;INDEX(Series!$D$2:$D$30,MATCH(C424,Series!$B$2:$B$30,0))&amp;"/"&amp;INDEX(Part_Categories!$C$2:$C$18,MATCH(D424,Part_Categories!$B$2:$B$18,0)),"CHECK")</f>
        <v>/mycom/j-series/oil-filter-and-strainer</v>
      </c>
      <c r="Q424" s="19"/>
    </row>
    <row r="425" customFormat="false" ht="23.85" hidden="false" customHeight="false" outlineLevel="0" collapsed="false">
      <c r="A425" s="16" t="n">
        <f aca="false">ROW()-1</f>
        <v>424</v>
      </c>
      <c r="B425" s="17" t="s">
        <v>78</v>
      </c>
      <c r="C425" s="17" t="s">
        <v>129</v>
      </c>
      <c r="D425" s="17" t="s">
        <v>105</v>
      </c>
      <c r="E425" s="16" t="str">
        <f aca="false">IFERROR(INDEX(Lists!$B$2:$B$7,MATCH(B425,Lists!$A$2:$A$7,0))&amp;"-"&amp;INDEX(Series!$C$2:$C$30,MATCH(C425,Series!$B$2:$B$30,0))&amp;"-"&amp;INDEX(Part_Categories!$A$2:$A$18,MATCH(D425,Part_Categories!$B$2:$B$18,0))&amp;"-01","CHECK")</f>
        <v>MYC-J-ULD-01</v>
      </c>
      <c r="F425" s="16" t="str">
        <f aca="false">E425&amp;".jpg"</f>
        <v>MYC-J-ULD-01.jpg</v>
      </c>
      <c r="G425" s="18" t="str">
        <f aca="false">IFERROR(INDEX(Series!$F$2:$F$30,MATCH(C425,Series!$B$2:$B$30,0)),"")</f>
        <v>6J2, J series (other sizes to add)</v>
      </c>
      <c r="H425" s="19"/>
      <c r="I425" s="19"/>
      <c r="J425" s="19"/>
      <c r="K425" s="19" t="s">
        <v>70</v>
      </c>
      <c r="L425" s="19"/>
      <c r="M425" s="19"/>
      <c r="N425" s="19"/>
      <c r="O425" s="18" t="str">
        <f aca="false">C425&amp;" "&amp;D425&amp;" spare part - Efforts Engineers"</f>
        <v>Mycom J Series Unloader and Capacity Control spare part - Efforts Engineers</v>
      </c>
      <c r="P425" s="16" t="str">
        <f aca="false">IFERROR("/"&amp;LOWER(B425)&amp;"/"&amp;INDEX(Series!$D$2:$D$30,MATCH(C425,Series!$B$2:$B$30,0))&amp;"/"&amp;INDEX(Part_Categories!$C$2:$C$18,MATCH(D425,Part_Categories!$B$2:$B$18,0)),"CHECK")</f>
        <v>/mycom/j-series/unloader-and-capacity-control</v>
      </c>
      <c r="Q425" s="19"/>
    </row>
    <row r="426" customFormat="false" ht="23.85" hidden="false" customHeight="false" outlineLevel="0" collapsed="false">
      <c r="A426" s="16" t="n">
        <f aca="false">ROW()-1</f>
        <v>425</v>
      </c>
      <c r="B426" s="17" t="s">
        <v>78</v>
      </c>
      <c r="C426" s="17" t="s">
        <v>129</v>
      </c>
      <c r="D426" s="17" t="s">
        <v>106</v>
      </c>
      <c r="E426" s="16" t="str">
        <f aca="false">IFERROR(INDEX(Lists!$B$2:$B$7,MATCH(B426,Lists!$A$2:$A$7,0))&amp;"-"&amp;INDEX(Series!$C$2:$C$30,MATCH(C426,Series!$B$2:$B$30,0))&amp;"-"&amp;INDEX(Part_Categories!$A$2:$A$18,MATCH(D426,Part_Categories!$B$2:$B$18,0))&amp;"-01","CHECK")</f>
        <v>MYC-J-SAF-01</v>
      </c>
      <c r="F426" s="16" t="str">
        <f aca="false">E426&amp;".jpg"</f>
        <v>MYC-J-SAF-01.jpg</v>
      </c>
      <c r="G426" s="18" t="str">
        <f aca="false">IFERROR(INDEX(Series!$F$2:$F$30,MATCH(C426,Series!$B$2:$B$30,0)),"")</f>
        <v>6J2, J series (other sizes to add)</v>
      </c>
      <c r="H426" s="19"/>
      <c r="I426" s="19"/>
      <c r="J426" s="19"/>
      <c r="K426" s="19" t="s">
        <v>70</v>
      </c>
      <c r="L426" s="19"/>
      <c r="M426" s="19"/>
      <c r="N426" s="19"/>
      <c r="O426" s="18" t="str">
        <f aca="false">C426&amp;" "&amp;D426&amp;" spare part - Efforts Engineers"</f>
        <v>Mycom J Series Safety Head and Relief Valve spare part - Efforts Engineers</v>
      </c>
      <c r="P426" s="16" t="str">
        <f aca="false">IFERROR("/"&amp;LOWER(B426)&amp;"/"&amp;INDEX(Series!$D$2:$D$30,MATCH(C426,Series!$B$2:$B$30,0))&amp;"/"&amp;INDEX(Part_Categories!$C$2:$C$18,MATCH(D426,Part_Categories!$B$2:$B$18,0)),"CHECK")</f>
        <v>/mycom/j-series/safety-head-and-relief-valve</v>
      </c>
      <c r="Q426" s="19"/>
    </row>
    <row r="427" customFormat="false" ht="23.85" hidden="false" customHeight="false" outlineLevel="0" collapsed="false">
      <c r="A427" s="16" t="n">
        <f aca="false">ROW()-1</f>
        <v>426</v>
      </c>
      <c r="B427" s="17" t="s">
        <v>79</v>
      </c>
      <c r="C427" s="17" t="s">
        <v>130</v>
      </c>
      <c r="D427" s="17" t="s">
        <v>58</v>
      </c>
      <c r="E427" s="16" t="str">
        <f aca="false">IFERROR(INDEX(Lists!$B$2:$B$7,MATCH(B427,Lists!$A$2:$A$7,0))&amp;"-"&amp;INDEX(Series!$C$2:$C$30,MATCH(C427,Series!$B$2:$B$30,0))&amp;"-"&amp;INDEX(Part_Categories!$A$2:$A$18,MATCH(D427,Part_Categories!$B$2:$B$18,0))&amp;"-01","CHECK")</f>
        <v>CAR-5H-CLN-01</v>
      </c>
      <c r="F427" s="16" t="str">
        <f aca="false">E427&amp;".jpg"</f>
        <v>CAR-5H-CLN-01.jpg</v>
      </c>
      <c r="G427" s="18" t="str">
        <f aca="false">IFERROR(INDEX(Series!$F$2:$F$30,MATCH(C427,Series!$B$2:$B$30,0)),"")</f>
        <v>5H40, 5H46, 5H60, 5H66, 5H80, 5H86, 5H120, 5H126</v>
      </c>
      <c r="H427" s="19"/>
      <c r="I427" s="19"/>
      <c r="J427" s="19"/>
      <c r="K427" s="19" t="s">
        <v>70</v>
      </c>
      <c r="L427" s="19"/>
      <c r="M427" s="19"/>
      <c r="N427" s="19"/>
      <c r="O427" s="18" t="str">
        <f aca="false">C427&amp;" "&amp;D427&amp;" spare part - Efforts Engineers"</f>
        <v>Carrier 5H Series Cylinder Liner spare part - Efforts Engineers</v>
      </c>
      <c r="P427" s="16" t="str">
        <f aca="false">IFERROR("/"&amp;LOWER(B427)&amp;"/"&amp;INDEX(Series!$D$2:$D$30,MATCH(C427,Series!$B$2:$B$30,0))&amp;"/"&amp;INDEX(Part_Categories!$C$2:$C$18,MATCH(D427,Part_Categories!$B$2:$B$18,0)),"CHECK")</f>
        <v>/carrier/5h/cylinder-liner</v>
      </c>
      <c r="Q427" s="19"/>
    </row>
    <row r="428" customFormat="false" ht="23.85" hidden="false" customHeight="false" outlineLevel="0" collapsed="false">
      <c r="A428" s="16" t="n">
        <f aca="false">ROW()-1</f>
        <v>427</v>
      </c>
      <c r="B428" s="17" t="s">
        <v>79</v>
      </c>
      <c r="C428" s="17" t="s">
        <v>130</v>
      </c>
      <c r="D428" s="17" t="s">
        <v>91</v>
      </c>
      <c r="E428" s="16" t="str">
        <f aca="false">IFERROR(INDEX(Lists!$B$2:$B$7,MATCH(B428,Lists!$A$2:$A$7,0))&amp;"-"&amp;INDEX(Series!$C$2:$C$30,MATCH(C428,Series!$B$2:$B$30,0))&amp;"-"&amp;INDEX(Part_Categories!$A$2:$A$18,MATCH(D428,Part_Categories!$B$2:$B$18,0))&amp;"-01","CHECK")</f>
        <v>CAR-5H-PST-01</v>
      </c>
      <c r="F428" s="16" t="str">
        <f aca="false">E428&amp;".jpg"</f>
        <v>CAR-5H-PST-01.jpg</v>
      </c>
      <c r="G428" s="18" t="str">
        <f aca="false">IFERROR(INDEX(Series!$F$2:$F$30,MATCH(C428,Series!$B$2:$B$30,0)),"")</f>
        <v>5H40, 5H46, 5H60, 5H66, 5H80, 5H86, 5H120, 5H126</v>
      </c>
      <c r="H428" s="19"/>
      <c r="I428" s="19"/>
      <c r="J428" s="19"/>
      <c r="K428" s="19" t="s">
        <v>70</v>
      </c>
      <c r="L428" s="19"/>
      <c r="M428" s="19"/>
      <c r="N428" s="19"/>
      <c r="O428" s="18" t="str">
        <f aca="false">C428&amp;" "&amp;D428&amp;" spare part - Efforts Engineers"</f>
        <v>Carrier 5H Series Piston Assembly spare part - Efforts Engineers</v>
      </c>
      <c r="P428" s="16" t="str">
        <f aca="false">IFERROR("/"&amp;LOWER(B428)&amp;"/"&amp;INDEX(Series!$D$2:$D$30,MATCH(C428,Series!$B$2:$B$30,0))&amp;"/"&amp;INDEX(Part_Categories!$C$2:$C$18,MATCH(D428,Part_Categories!$B$2:$B$18,0)),"CHECK")</f>
        <v>/carrier/5h/piston-assembly</v>
      </c>
      <c r="Q428" s="19"/>
    </row>
    <row r="429" customFormat="false" ht="23.85" hidden="false" customHeight="false" outlineLevel="0" collapsed="false">
      <c r="A429" s="16" t="n">
        <f aca="false">ROW()-1</f>
        <v>428</v>
      </c>
      <c r="B429" s="17" t="s">
        <v>79</v>
      </c>
      <c r="C429" s="17" t="s">
        <v>130</v>
      </c>
      <c r="D429" s="17" t="s">
        <v>92</v>
      </c>
      <c r="E429" s="16" t="str">
        <f aca="false">IFERROR(INDEX(Lists!$B$2:$B$7,MATCH(B429,Lists!$A$2:$A$7,0))&amp;"-"&amp;INDEX(Series!$C$2:$C$30,MATCH(C429,Series!$B$2:$B$30,0))&amp;"-"&amp;INDEX(Part_Categories!$A$2:$A$18,MATCH(D429,Part_Categories!$B$2:$B$18,0))&amp;"-01","CHECK")</f>
        <v>CAR-5H-PRG-01</v>
      </c>
      <c r="F429" s="16" t="str">
        <f aca="false">E429&amp;".jpg"</f>
        <v>CAR-5H-PRG-01.jpg</v>
      </c>
      <c r="G429" s="18" t="str">
        <f aca="false">IFERROR(INDEX(Series!$F$2:$F$30,MATCH(C429,Series!$B$2:$B$30,0)),"")</f>
        <v>5H40, 5H46, 5H60, 5H66, 5H80, 5H86, 5H120, 5H126</v>
      </c>
      <c r="H429" s="19"/>
      <c r="I429" s="19"/>
      <c r="J429" s="19"/>
      <c r="K429" s="19" t="s">
        <v>70</v>
      </c>
      <c r="L429" s="19"/>
      <c r="M429" s="19"/>
      <c r="N429" s="19"/>
      <c r="O429" s="18" t="str">
        <f aca="false">C429&amp;" "&amp;D429&amp;" spare part - Efforts Engineers"</f>
        <v>Carrier 5H Series Piston Ring Set spare part - Efforts Engineers</v>
      </c>
      <c r="P429" s="16" t="str">
        <f aca="false">IFERROR("/"&amp;LOWER(B429)&amp;"/"&amp;INDEX(Series!$D$2:$D$30,MATCH(C429,Series!$B$2:$B$30,0))&amp;"/"&amp;INDEX(Part_Categories!$C$2:$C$18,MATCH(D429,Part_Categories!$B$2:$B$18,0)),"CHECK")</f>
        <v>/carrier/5h/piston-ring-set</v>
      </c>
      <c r="Q429" s="19"/>
    </row>
    <row r="430" customFormat="false" ht="23.85" hidden="false" customHeight="false" outlineLevel="0" collapsed="false">
      <c r="A430" s="16" t="n">
        <f aca="false">ROW()-1</f>
        <v>429</v>
      </c>
      <c r="B430" s="17" t="s">
        <v>79</v>
      </c>
      <c r="C430" s="17" t="s">
        <v>130</v>
      </c>
      <c r="D430" s="17" t="s">
        <v>93</v>
      </c>
      <c r="E430" s="16" t="str">
        <f aca="false">IFERROR(INDEX(Lists!$B$2:$B$7,MATCH(B430,Lists!$A$2:$A$7,0))&amp;"-"&amp;INDEX(Series!$C$2:$C$30,MATCH(C430,Series!$B$2:$B$30,0))&amp;"-"&amp;INDEX(Part_Categories!$A$2:$A$18,MATCH(D430,Part_Categories!$B$2:$B$18,0))&amp;"-01","CHECK")</f>
        <v>CAR-5H-CRD-01</v>
      </c>
      <c r="F430" s="16" t="str">
        <f aca="false">E430&amp;".jpg"</f>
        <v>CAR-5H-CRD-01.jpg</v>
      </c>
      <c r="G430" s="18" t="str">
        <f aca="false">IFERROR(INDEX(Series!$F$2:$F$30,MATCH(C430,Series!$B$2:$B$30,0)),"")</f>
        <v>5H40, 5H46, 5H60, 5H66, 5H80, 5H86, 5H120, 5H126</v>
      </c>
      <c r="H430" s="19"/>
      <c r="I430" s="19"/>
      <c r="J430" s="19"/>
      <c r="K430" s="19" t="s">
        <v>70</v>
      </c>
      <c r="L430" s="19"/>
      <c r="M430" s="19"/>
      <c r="N430" s="19"/>
      <c r="O430" s="18" t="str">
        <f aca="false">C430&amp;" "&amp;D430&amp;" spare part - Efforts Engineers"</f>
        <v>Carrier 5H Series Connecting Rod spare part - Efforts Engineers</v>
      </c>
      <c r="P430" s="16" t="str">
        <f aca="false">IFERROR("/"&amp;LOWER(B430)&amp;"/"&amp;INDEX(Series!$D$2:$D$30,MATCH(C430,Series!$B$2:$B$30,0))&amp;"/"&amp;INDEX(Part_Categories!$C$2:$C$18,MATCH(D430,Part_Categories!$B$2:$B$18,0)),"CHECK")</f>
        <v>/carrier/5h/connecting-rod</v>
      </c>
      <c r="Q430" s="19"/>
    </row>
    <row r="431" customFormat="false" ht="23.85" hidden="false" customHeight="false" outlineLevel="0" collapsed="false">
      <c r="A431" s="16" t="n">
        <f aca="false">ROW()-1</f>
        <v>430</v>
      </c>
      <c r="B431" s="17" t="s">
        <v>79</v>
      </c>
      <c r="C431" s="17" t="s">
        <v>130</v>
      </c>
      <c r="D431" s="17" t="s">
        <v>94</v>
      </c>
      <c r="E431" s="16" t="str">
        <f aca="false">IFERROR(INDEX(Lists!$B$2:$B$7,MATCH(B431,Lists!$A$2:$A$7,0))&amp;"-"&amp;INDEX(Series!$C$2:$C$30,MATCH(C431,Series!$B$2:$B$30,0))&amp;"-"&amp;INDEX(Part_Categories!$A$2:$A$18,MATCH(D431,Part_Categories!$B$2:$B$18,0))&amp;"-01","CHECK")</f>
        <v>CAR-5H-CRK-01</v>
      </c>
      <c r="F431" s="16" t="str">
        <f aca="false">E431&amp;".jpg"</f>
        <v>CAR-5H-CRK-01.jpg</v>
      </c>
      <c r="G431" s="18" t="str">
        <f aca="false">IFERROR(INDEX(Series!$F$2:$F$30,MATCH(C431,Series!$B$2:$B$30,0)),"")</f>
        <v>5H40, 5H46, 5H60, 5H66, 5H80, 5H86, 5H120, 5H126</v>
      </c>
      <c r="H431" s="19"/>
      <c r="I431" s="19"/>
      <c r="J431" s="19"/>
      <c r="K431" s="19" t="s">
        <v>70</v>
      </c>
      <c r="L431" s="19"/>
      <c r="M431" s="19"/>
      <c r="N431" s="19"/>
      <c r="O431" s="18" t="str">
        <f aca="false">C431&amp;" "&amp;D431&amp;" spare part - Efforts Engineers"</f>
        <v>Carrier 5H Series Crankshaft spare part - Efforts Engineers</v>
      </c>
      <c r="P431" s="16" t="str">
        <f aca="false">IFERROR("/"&amp;LOWER(B431)&amp;"/"&amp;INDEX(Series!$D$2:$D$30,MATCH(C431,Series!$B$2:$B$30,0))&amp;"/"&amp;INDEX(Part_Categories!$C$2:$C$18,MATCH(D431,Part_Categories!$B$2:$B$18,0)),"CHECK")</f>
        <v>/carrier/5h/crankshaft</v>
      </c>
      <c r="Q431" s="19"/>
    </row>
    <row r="432" customFormat="false" ht="23.85" hidden="false" customHeight="false" outlineLevel="0" collapsed="false">
      <c r="A432" s="16" t="n">
        <f aca="false">ROW()-1</f>
        <v>431</v>
      </c>
      <c r="B432" s="17" t="s">
        <v>79</v>
      </c>
      <c r="C432" s="17" t="s">
        <v>130</v>
      </c>
      <c r="D432" s="17" t="s">
        <v>95</v>
      </c>
      <c r="E432" s="16" t="str">
        <f aca="false">IFERROR(INDEX(Lists!$B$2:$B$7,MATCH(B432,Lists!$A$2:$A$7,0))&amp;"-"&amp;INDEX(Series!$C$2:$C$30,MATCH(C432,Series!$B$2:$B$30,0))&amp;"-"&amp;INDEX(Part_Categories!$A$2:$A$18,MATCH(D432,Part_Categories!$B$2:$B$18,0))&amp;"-01","CHECK")</f>
        <v>CAR-5H-PIN-01</v>
      </c>
      <c r="F432" s="16" t="str">
        <f aca="false">E432&amp;".jpg"</f>
        <v>CAR-5H-PIN-01.jpg</v>
      </c>
      <c r="G432" s="18" t="str">
        <f aca="false">IFERROR(INDEX(Series!$F$2:$F$30,MATCH(C432,Series!$B$2:$B$30,0)),"")</f>
        <v>5H40, 5H46, 5H60, 5H66, 5H80, 5H86, 5H120, 5H126</v>
      </c>
      <c r="H432" s="19"/>
      <c r="I432" s="19"/>
      <c r="J432" s="19"/>
      <c r="K432" s="19" t="s">
        <v>70</v>
      </c>
      <c r="L432" s="19"/>
      <c r="M432" s="19"/>
      <c r="N432" s="19"/>
      <c r="O432" s="18" t="str">
        <f aca="false">C432&amp;" "&amp;D432&amp;" spare part - Efforts Engineers"</f>
        <v>Carrier 5H Series Gudgeon Pin and Bush spare part - Efforts Engineers</v>
      </c>
      <c r="P432" s="16" t="str">
        <f aca="false">IFERROR("/"&amp;LOWER(B432)&amp;"/"&amp;INDEX(Series!$D$2:$D$30,MATCH(C432,Series!$B$2:$B$30,0))&amp;"/"&amp;INDEX(Part_Categories!$C$2:$C$18,MATCH(D432,Part_Categories!$B$2:$B$18,0)),"CHECK")</f>
        <v>/carrier/5h/gudgeon-pin-and-bush</v>
      </c>
      <c r="Q432" s="19"/>
    </row>
    <row r="433" customFormat="false" ht="23.85" hidden="false" customHeight="false" outlineLevel="0" collapsed="false">
      <c r="A433" s="16" t="n">
        <f aca="false">ROW()-1</f>
        <v>432</v>
      </c>
      <c r="B433" s="17" t="s">
        <v>79</v>
      </c>
      <c r="C433" s="17" t="s">
        <v>130</v>
      </c>
      <c r="D433" s="17" t="s">
        <v>96</v>
      </c>
      <c r="E433" s="16" t="str">
        <f aca="false">IFERROR(INDEX(Lists!$B$2:$B$7,MATCH(B433,Lists!$A$2:$A$7,0))&amp;"-"&amp;INDEX(Series!$C$2:$C$30,MATCH(C433,Series!$B$2:$B$30,0))&amp;"-"&amp;INDEX(Part_Categories!$A$2:$A$18,MATCH(D433,Part_Categories!$B$2:$B$18,0))&amp;"-01","CHECK")</f>
        <v>CAR-5H-BRG-01</v>
      </c>
      <c r="F433" s="16" t="str">
        <f aca="false">E433&amp;".jpg"</f>
        <v>CAR-5H-BRG-01.jpg</v>
      </c>
      <c r="G433" s="18" t="str">
        <f aca="false">IFERROR(INDEX(Series!$F$2:$F$30,MATCH(C433,Series!$B$2:$B$30,0)),"")</f>
        <v>5H40, 5H46, 5H60, 5H66, 5H80, 5H86, 5H120, 5H126</v>
      </c>
      <c r="H433" s="19"/>
      <c r="I433" s="19"/>
      <c r="J433" s="19"/>
      <c r="K433" s="19" t="s">
        <v>70</v>
      </c>
      <c r="L433" s="19"/>
      <c r="M433" s="19"/>
      <c r="N433" s="19"/>
      <c r="O433" s="18" t="str">
        <f aca="false">C433&amp;" "&amp;D433&amp;" spare part - Efforts Engineers"</f>
        <v>Carrier 5H Series Main Bearing and Bush spare part - Efforts Engineers</v>
      </c>
      <c r="P433" s="16" t="str">
        <f aca="false">IFERROR("/"&amp;LOWER(B433)&amp;"/"&amp;INDEX(Series!$D$2:$D$30,MATCH(C433,Series!$B$2:$B$30,0))&amp;"/"&amp;INDEX(Part_Categories!$C$2:$C$18,MATCH(D433,Part_Categories!$B$2:$B$18,0)),"CHECK")</f>
        <v>/carrier/5h/main-bearing-and-bush</v>
      </c>
      <c r="Q433" s="19"/>
    </row>
    <row r="434" customFormat="false" ht="23.85" hidden="false" customHeight="false" outlineLevel="0" collapsed="false">
      <c r="A434" s="16" t="n">
        <f aca="false">ROW()-1</f>
        <v>433</v>
      </c>
      <c r="B434" s="17" t="s">
        <v>79</v>
      </c>
      <c r="C434" s="17" t="s">
        <v>130</v>
      </c>
      <c r="D434" s="17" t="s">
        <v>97</v>
      </c>
      <c r="E434" s="16" t="str">
        <f aca="false">IFERROR(INDEX(Lists!$B$2:$B$7,MATCH(B434,Lists!$A$2:$A$7,0))&amp;"-"&amp;INDEX(Series!$C$2:$C$30,MATCH(C434,Series!$B$2:$B$30,0))&amp;"-"&amp;INDEX(Part_Categories!$A$2:$A$18,MATCH(D434,Part_Categories!$B$2:$B$18,0))&amp;"-01","CHECK")</f>
        <v>CAR-5H-SVP-01</v>
      </c>
      <c r="F434" s="16" t="str">
        <f aca="false">E434&amp;".jpg"</f>
        <v>CAR-5H-SVP-01.jpg</v>
      </c>
      <c r="G434" s="18" t="str">
        <f aca="false">IFERROR(INDEX(Series!$F$2:$F$30,MATCH(C434,Series!$B$2:$B$30,0)),"")</f>
        <v>5H40, 5H46, 5H60, 5H66, 5H80, 5H86, 5H120, 5H126</v>
      </c>
      <c r="H434" s="19"/>
      <c r="I434" s="19"/>
      <c r="J434" s="19"/>
      <c r="K434" s="19" t="s">
        <v>70</v>
      </c>
      <c r="L434" s="19"/>
      <c r="M434" s="19"/>
      <c r="N434" s="19"/>
      <c r="O434" s="18" t="str">
        <f aca="false">C434&amp;" "&amp;D434&amp;" spare part - Efforts Engineers"</f>
        <v>Carrier 5H Series Suction Valve Plate spare part - Efforts Engineers</v>
      </c>
      <c r="P434" s="16" t="str">
        <f aca="false">IFERROR("/"&amp;LOWER(B434)&amp;"/"&amp;INDEX(Series!$D$2:$D$30,MATCH(C434,Series!$B$2:$B$30,0))&amp;"/"&amp;INDEX(Part_Categories!$C$2:$C$18,MATCH(D434,Part_Categories!$B$2:$B$18,0)),"CHECK")</f>
        <v>/carrier/5h/suction-valve-plate</v>
      </c>
      <c r="Q434" s="19"/>
    </row>
    <row r="435" customFormat="false" ht="23.85" hidden="false" customHeight="false" outlineLevel="0" collapsed="false">
      <c r="A435" s="16" t="n">
        <f aca="false">ROW()-1</f>
        <v>434</v>
      </c>
      <c r="B435" s="17" t="s">
        <v>79</v>
      </c>
      <c r="C435" s="17" t="s">
        <v>130</v>
      </c>
      <c r="D435" s="17" t="s">
        <v>98</v>
      </c>
      <c r="E435" s="16" t="str">
        <f aca="false">IFERROR(INDEX(Lists!$B$2:$B$7,MATCH(B435,Lists!$A$2:$A$7,0))&amp;"-"&amp;INDEX(Series!$C$2:$C$30,MATCH(C435,Series!$B$2:$B$30,0))&amp;"-"&amp;INDEX(Part_Categories!$A$2:$A$18,MATCH(D435,Part_Categories!$B$2:$B$18,0))&amp;"-01","CHECK")</f>
        <v>CAR-5H-DVA-01</v>
      </c>
      <c r="F435" s="16" t="str">
        <f aca="false">E435&amp;".jpg"</f>
        <v>CAR-5H-DVA-01.jpg</v>
      </c>
      <c r="G435" s="18" t="str">
        <f aca="false">IFERROR(INDEX(Series!$F$2:$F$30,MATCH(C435,Series!$B$2:$B$30,0)),"")</f>
        <v>5H40, 5H46, 5H60, 5H66, 5H80, 5H86, 5H120, 5H126</v>
      </c>
      <c r="H435" s="19"/>
      <c r="I435" s="19"/>
      <c r="J435" s="19"/>
      <c r="K435" s="19" t="s">
        <v>70</v>
      </c>
      <c r="L435" s="19"/>
      <c r="M435" s="19"/>
      <c r="N435" s="19"/>
      <c r="O435" s="18" t="str">
        <f aca="false">C435&amp;" "&amp;D435&amp;" spare part - Efforts Engineers"</f>
        <v>Carrier 5H Series Discharge Valve Assembly spare part - Efforts Engineers</v>
      </c>
      <c r="P435" s="16" t="str">
        <f aca="false">IFERROR("/"&amp;LOWER(B435)&amp;"/"&amp;INDEX(Series!$D$2:$D$30,MATCH(C435,Series!$B$2:$B$30,0))&amp;"/"&amp;INDEX(Part_Categories!$C$2:$C$18,MATCH(D435,Part_Categories!$B$2:$B$18,0)),"CHECK")</f>
        <v>/carrier/5h/discharge-valve-assembly</v>
      </c>
      <c r="Q435" s="19"/>
    </row>
    <row r="436" customFormat="false" ht="23.85" hidden="false" customHeight="false" outlineLevel="0" collapsed="false">
      <c r="A436" s="16" t="n">
        <f aca="false">ROW()-1</f>
        <v>435</v>
      </c>
      <c r="B436" s="17" t="s">
        <v>79</v>
      </c>
      <c r="C436" s="17" t="s">
        <v>130</v>
      </c>
      <c r="D436" s="17" t="s">
        <v>99</v>
      </c>
      <c r="E436" s="16" t="str">
        <f aca="false">IFERROR(INDEX(Lists!$B$2:$B$7,MATCH(B436,Lists!$A$2:$A$7,0))&amp;"-"&amp;INDEX(Series!$C$2:$C$30,MATCH(C436,Series!$B$2:$B$30,0))&amp;"-"&amp;INDEX(Part_Categories!$A$2:$A$18,MATCH(D436,Part_Categories!$B$2:$B$18,0))&amp;"-01","CHECK")</f>
        <v>CAR-5H-VSP-01</v>
      </c>
      <c r="F436" s="16" t="str">
        <f aca="false">E436&amp;".jpg"</f>
        <v>CAR-5H-VSP-01.jpg</v>
      </c>
      <c r="G436" s="18" t="str">
        <f aca="false">IFERROR(INDEX(Series!$F$2:$F$30,MATCH(C436,Series!$B$2:$B$30,0)),"")</f>
        <v>5H40, 5H46, 5H60, 5H66, 5H80, 5H86, 5H120, 5H126</v>
      </c>
      <c r="H436" s="19"/>
      <c r="I436" s="19"/>
      <c r="J436" s="19"/>
      <c r="K436" s="19" t="s">
        <v>70</v>
      </c>
      <c r="L436" s="19"/>
      <c r="M436" s="19"/>
      <c r="N436" s="19"/>
      <c r="O436" s="18" t="str">
        <f aca="false">C436&amp;" "&amp;D436&amp;" spare part - Efforts Engineers"</f>
        <v>Carrier 5H Series Valve Spring and Cage spare part - Efforts Engineers</v>
      </c>
      <c r="P436" s="16" t="str">
        <f aca="false">IFERROR("/"&amp;LOWER(B436)&amp;"/"&amp;INDEX(Series!$D$2:$D$30,MATCH(C436,Series!$B$2:$B$30,0))&amp;"/"&amp;INDEX(Part_Categories!$C$2:$C$18,MATCH(D436,Part_Categories!$B$2:$B$18,0)),"CHECK")</f>
        <v>/carrier/5h/valve-spring-and-cage</v>
      </c>
      <c r="Q436" s="19"/>
    </row>
    <row r="437" customFormat="false" ht="23.85" hidden="false" customHeight="false" outlineLevel="0" collapsed="false">
      <c r="A437" s="16" t="n">
        <f aca="false">ROW()-1</f>
        <v>436</v>
      </c>
      <c r="B437" s="17" t="s">
        <v>79</v>
      </c>
      <c r="C437" s="17" t="s">
        <v>130</v>
      </c>
      <c r="D437" s="17" t="s">
        <v>100</v>
      </c>
      <c r="E437" s="16" t="str">
        <f aca="false">IFERROR(INDEX(Lists!$B$2:$B$7,MATCH(B437,Lists!$A$2:$A$7,0))&amp;"-"&amp;INDEX(Series!$C$2:$C$30,MATCH(C437,Series!$B$2:$B$30,0))&amp;"-"&amp;INDEX(Part_Categories!$A$2:$A$18,MATCH(D437,Part_Categories!$B$2:$B$18,0))&amp;"-01","CHECK")</f>
        <v>CAR-5H-HDC-01</v>
      </c>
      <c r="F437" s="16" t="str">
        <f aca="false">E437&amp;".jpg"</f>
        <v>CAR-5H-HDC-01.jpg</v>
      </c>
      <c r="G437" s="18" t="str">
        <f aca="false">IFERROR(INDEX(Series!$F$2:$F$30,MATCH(C437,Series!$B$2:$B$30,0)),"")</f>
        <v>5H40, 5H46, 5H60, 5H66, 5H80, 5H86, 5H120, 5H126</v>
      </c>
      <c r="H437" s="19"/>
      <c r="I437" s="19"/>
      <c r="J437" s="19"/>
      <c r="K437" s="19" t="s">
        <v>70</v>
      </c>
      <c r="L437" s="19"/>
      <c r="M437" s="19"/>
      <c r="N437" s="19"/>
      <c r="O437" s="18" t="str">
        <f aca="false">C437&amp;" "&amp;D437&amp;" spare part - Efforts Engineers"</f>
        <v>Carrier 5H Series Cylinder Head Cover spare part - Efforts Engineers</v>
      </c>
      <c r="P437" s="16" t="str">
        <f aca="false">IFERROR("/"&amp;LOWER(B437)&amp;"/"&amp;INDEX(Series!$D$2:$D$30,MATCH(C437,Series!$B$2:$B$30,0))&amp;"/"&amp;INDEX(Part_Categories!$C$2:$C$18,MATCH(D437,Part_Categories!$B$2:$B$18,0)),"CHECK")</f>
        <v>/carrier/5h/cylinder-head-cover</v>
      </c>
      <c r="Q437" s="19"/>
    </row>
    <row r="438" customFormat="false" ht="23.85" hidden="false" customHeight="false" outlineLevel="0" collapsed="false">
      <c r="A438" s="16" t="n">
        <f aca="false">ROW()-1</f>
        <v>437</v>
      </c>
      <c r="B438" s="17" t="s">
        <v>79</v>
      </c>
      <c r="C438" s="17" t="s">
        <v>130</v>
      </c>
      <c r="D438" s="17" t="s">
        <v>101</v>
      </c>
      <c r="E438" s="16" t="str">
        <f aca="false">IFERROR(INDEX(Lists!$B$2:$B$7,MATCH(B438,Lists!$A$2:$A$7,0))&amp;"-"&amp;INDEX(Series!$C$2:$C$30,MATCH(C438,Series!$B$2:$B$30,0))&amp;"-"&amp;INDEX(Part_Categories!$A$2:$A$18,MATCH(D438,Part_Categories!$B$2:$B$18,0))&amp;"-01","CHECK")</f>
        <v>CAR-5H-GSK-01</v>
      </c>
      <c r="F438" s="16" t="str">
        <f aca="false">E438&amp;".jpg"</f>
        <v>CAR-5H-GSK-01.jpg</v>
      </c>
      <c r="G438" s="18" t="str">
        <f aca="false">IFERROR(INDEX(Series!$F$2:$F$30,MATCH(C438,Series!$B$2:$B$30,0)),"")</f>
        <v>5H40, 5H46, 5H60, 5H66, 5H80, 5H86, 5H120, 5H126</v>
      </c>
      <c r="H438" s="19"/>
      <c r="I438" s="19"/>
      <c r="J438" s="19"/>
      <c r="K438" s="19" t="s">
        <v>70</v>
      </c>
      <c r="L438" s="19"/>
      <c r="M438" s="19"/>
      <c r="N438" s="19"/>
      <c r="O438" s="18" t="str">
        <f aca="false">C438&amp;" "&amp;D438&amp;" spare part - Efforts Engineers"</f>
        <v>Carrier 5H Series Gasket and Overhaul Kit spare part - Efforts Engineers</v>
      </c>
      <c r="P438" s="16" t="str">
        <f aca="false">IFERROR("/"&amp;LOWER(B438)&amp;"/"&amp;INDEX(Series!$D$2:$D$30,MATCH(C438,Series!$B$2:$B$30,0))&amp;"/"&amp;INDEX(Part_Categories!$C$2:$C$18,MATCH(D438,Part_Categories!$B$2:$B$18,0)),"CHECK")</f>
        <v>/carrier/5h/gasket-and-overhaul-kit</v>
      </c>
      <c r="Q438" s="19"/>
    </row>
    <row r="439" customFormat="false" ht="23.85" hidden="false" customHeight="false" outlineLevel="0" collapsed="false">
      <c r="A439" s="16" t="n">
        <f aca="false">ROW()-1</f>
        <v>438</v>
      </c>
      <c r="B439" s="17" t="s">
        <v>79</v>
      </c>
      <c r="C439" s="17" t="s">
        <v>130</v>
      </c>
      <c r="D439" s="17" t="s">
        <v>102</v>
      </c>
      <c r="E439" s="16" t="str">
        <f aca="false">IFERROR(INDEX(Lists!$B$2:$B$7,MATCH(B439,Lists!$A$2:$A$7,0))&amp;"-"&amp;INDEX(Series!$C$2:$C$30,MATCH(C439,Series!$B$2:$B$30,0))&amp;"-"&amp;INDEX(Part_Categories!$A$2:$A$18,MATCH(D439,Part_Categories!$B$2:$B$18,0))&amp;"-01","CHECK")</f>
        <v>CAR-5H-OPA-01</v>
      </c>
      <c r="F439" s="16" t="str">
        <f aca="false">E439&amp;".jpg"</f>
        <v>CAR-5H-OPA-01.jpg</v>
      </c>
      <c r="G439" s="18" t="str">
        <f aca="false">IFERROR(INDEX(Series!$F$2:$F$30,MATCH(C439,Series!$B$2:$B$30,0)),"")</f>
        <v>5H40, 5H46, 5H60, 5H66, 5H80, 5H86, 5H120, 5H126</v>
      </c>
      <c r="H439" s="19"/>
      <c r="I439" s="19"/>
      <c r="J439" s="19"/>
      <c r="K439" s="19" t="s">
        <v>70</v>
      </c>
      <c r="L439" s="19"/>
      <c r="M439" s="19"/>
      <c r="N439" s="19"/>
      <c r="O439" s="18" t="str">
        <f aca="false">C439&amp;" "&amp;D439&amp;" spare part - Efforts Engineers"</f>
        <v>Carrier 5H Series Oil Pump Assembly spare part - Efforts Engineers</v>
      </c>
      <c r="P439" s="16" t="str">
        <f aca="false">IFERROR("/"&amp;LOWER(B439)&amp;"/"&amp;INDEX(Series!$D$2:$D$30,MATCH(C439,Series!$B$2:$B$30,0))&amp;"/"&amp;INDEX(Part_Categories!$C$2:$C$18,MATCH(D439,Part_Categories!$B$2:$B$18,0)),"CHECK")</f>
        <v>/carrier/5h/oil-pump-assembly</v>
      </c>
      <c r="Q439" s="19"/>
    </row>
    <row r="440" customFormat="false" ht="23.85" hidden="false" customHeight="false" outlineLevel="0" collapsed="false">
      <c r="A440" s="16" t="n">
        <f aca="false">ROW()-1</f>
        <v>439</v>
      </c>
      <c r="B440" s="17" t="s">
        <v>79</v>
      </c>
      <c r="C440" s="17" t="s">
        <v>130</v>
      </c>
      <c r="D440" s="17" t="s">
        <v>103</v>
      </c>
      <c r="E440" s="16" t="str">
        <f aca="false">IFERROR(INDEX(Lists!$B$2:$B$7,MATCH(B440,Lists!$A$2:$A$7,0))&amp;"-"&amp;INDEX(Series!$C$2:$C$30,MATCH(C440,Series!$B$2:$B$30,0))&amp;"-"&amp;INDEX(Part_Categories!$A$2:$A$18,MATCH(D440,Part_Categories!$B$2:$B$18,0))&amp;"-01","CHECK")</f>
        <v>CAR-5H-SHS-01</v>
      </c>
      <c r="F440" s="16" t="str">
        <f aca="false">E440&amp;".jpg"</f>
        <v>CAR-5H-SHS-01.jpg</v>
      </c>
      <c r="G440" s="18" t="str">
        <f aca="false">IFERROR(INDEX(Series!$F$2:$F$30,MATCH(C440,Series!$B$2:$B$30,0)),"")</f>
        <v>5H40, 5H46, 5H60, 5H66, 5H80, 5H86, 5H120, 5H126</v>
      </c>
      <c r="H440" s="19"/>
      <c r="I440" s="19"/>
      <c r="J440" s="19"/>
      <c r="K440" s="19" t="s">
        <v>70</v>
      </c>
      <c r="L440" s="19"/>
      <c r="M440" s="19"/>
      <c r="N440" s="19"/>
      <c r="O440" s="18" t="str">
        <f aca="false">C440&amp;" "&amp;D440&amp;" spare part - Efforts Engineers"</f>
        <v>Carrier 5H Series Shaft Seal spare part - Efforts Engineers</v>
      </c>
      <c r="P440" s="16" t="str">
        <f aca="false">IFERROR("/"&amp;LOWER(B440)&amp;"/"&amp;INDEX(Series!$D$2:$D$30,MATCH(C440,Series!$B$2:$B$30,0))&amp;"/"&amp;INDEX(Part_Categories!$C$2:$C$18,MATCH(D440,Part_Categories!$B$2:$B$18,0)),"CHECK")</f>
        <v>/carrier/5h/shaft-seal</v>
      </c>
      <c r="Q440" s="19"/>
    </row>
    <row r="441" customFormat="false" ht="23.85" hidden="false" customHeight="false" outlineLevel="0" collapsed="false">
      <c r="A441" s="16" t="n">
        <f aca="false">ROW()-1</f>
        <v>440</v>
      </c>
      <c r="B441" s="17" t="s">
        <v>79</v>
      </c>
      <c r="C441" s="17" t="s">
        <v>130</v>
      </c>
      <c r="D441" s="17" t="s">
        <v>104</v>
      </c>
      <c r="E441" s="16" t="str">
        <f aca="false">IFERROR(INDEX(Lists!$B$2:$B$7,MATCH(B441,Lists!$A$2:$A$7,0))&amp;"-"&amp;INDEX(Series!$C$2:$C$30,MATCH(C441,Series!$B$2:$B$30,0))&amp;"-"&amp;INDEX(Part_Categories!$A$2:$A$18,MATCH(D441,Part_Categories!$B$2:$B$18,0))&amp;"-01","CHECK")</f>
        <v>CAR-5H-FLT-01</v>
      </c>
      <c r="F441" s="16" t="str">
        <f aca="false">E441&amp;".jpg"</f>
        <v>CAR-5H-FLT-01.jpg</v>
      </c>
      <c r="G441" s="18" t="str">
        <f aca="false">IFERROR(INDEX(Series!$F$2:$F$30,MATCH(C441,Series!$B$2:$B$30,0)),"")</f>
        <v>5H40, 5H46, 5H60, 5H66, 5H80, 5H86, 5H120, 5H126</v>
      </c>
      <c r="H441" s="19"/>
      <c r="I441" s="19"/>
      <c r="J441" s="19"/>
      <c r="K441" s="19" t="s">
        <v>70</v>
      </c>
      <c r="L441" s="19"/>
      <c r="M441" s="19"/>
      <c r="N441" s="19"/>
      <c r="O441" s="18" t="str">
        <f aca="false">C441&amp;" "&amp;D441&amp;" spare part - Efforts Engineers"</f>
        <v>Carrier 5H Series Oil Filter and Strainer spare part - Efforts Engineers</v>
      </c>
      <c r="P441" s="16" t="str">
        <f aca="false">IFERROR("/"&amp;LOWER(B441)&amp;"/"&amp;INDEX(Series!$D$2:$D$30,MATCH(C441,Series!$B$2:$B$30,0))&amp;"/"&amp;INDEX(Part_Categories!$C$2:$C$18,MATCH(D441,Part_Categories!$B$2:$B$18,0)),"CHECK")</f>
        <v>/carrier/5h/oil-filter-and-strainer</v>
      </c>
      <c r="Q441" s="19"/>
    </row>
    <row r="442" customFormat="false" ht="23.85" hidden="false" customHeight="false" outlineLevel="0" collapsed="false">
      <c r="A442" s="16" t="n">
        <f aca="false">ROW()-1</f>
        <v>441</v>
      </c>
      <c r="B442" s="17" t="s">
        <v>79</v>
      </c>
      <c r="C442" s="17" t="s">
        <v>130</v>
      </c>
      <c r="D442" s="17" t="s">
        <v>105</v>
      </c>
      <c r="E442" s="16" t="str">
        <f aca="false">IFERROR(INDEX(Lists!$B$2:$B$7,MATCH(B442,Lists!$A$2:$A$7,0))&amp;"-"&amp;INDEX(Series!$C$2:$C$30,MATCH(C442,Series!$B$2:$B$30,0))&amp;"-"&amp;INDEX(Part_Categories!$A$2:$A$18,MATCH(D442,Part_Categories!$B$2:$B$18,0))&amp;"-01","CHECK")</f>
        <v>CAR-5H-ULD-01</v>
      </c>
      <c r="F442" s="16" t="str">
        <f aca="false">E442&amp;".jpg"</f>
        <v>CAR-5H-ULD-01.jpg</v>
      </c>
      <c r="G442" s="18" t="str">
        <f aca="false">IFERROR(INDEX(Series!$F$2:$F$30,MATCH(C442,Series!$B$2:$B$30,0)),"")</f>
        <v>5H40, 5H46, 5H60, 5H66, 5H80, 5H86, 5H120, 5H126</v>
      </c>
      <c r="H442" s="19"/>
      <c r="I442" s="19"/>
      <c r="J442" s="19"/>
      <c r="K442" s="19" t="s">
        <v>70</v>
      </c>
      <c r="L442" s="19"/>
      <c r="M442" s="19"/>
      <c r="N442" s="19"/>
      <c r="O442" s="18" t="str">
        <f aca="false">C442&amp;" "&amp;D442&amp;" spare part - Efforts Engineers"</f>
        <v>Carrier 5H Series Unloader and Capacity Control spare part - Efforts Engineers</v>
      </c>
      <c r="P442" s="16" t="str">
        <f aca="false">IFERROR("/"&amp;LOWER(B442)&amp;"/"&amp;INDEX(Series!$D$2:$D$30,MATCH(C442,Series!$B$2:$B$30,0))&amp;"/"&amp;INDEX(Part_Categories!$C$2:$C$18,MATCH(D442,Part_Categories!$B$2:$B$18,0)),"CHECK")</f>
        <v>/carrier/5h/unloader-and-capacity-control</v>
      </c>
      <c r="Q442" s="19"/>
    </row>
    <row r="443" customFormat="false" ht="23.85" hidden="false" customHeight="false" outlineLevel="0" collapsed="false">
      <c r="A443" s="16" t="n">
        <f aca="false">ROW()-1</f>
        <v>442</v>
      </c>
      <c r="B443" s="17" t="s">
        <v>79</v>
      </c>
      <c r="C443" s="17" t="s">
        <v>130</v>
      </c>
      <c r="D443" s="17" t="s">
        <v>106</v>
      </c>
      <c r="E443" s="16" t="str">
        <f aca="false">IFERROR(INDEX(Lists!$B$2:$B$7,MATCH(B443,Lists!$A$2:$A$7,0))&amp;"-"&amp;INDEX(Series!$C$2:$C$30,MATCH(C443,Series!$B$2:$B$30,0))&amp;"-"&amp;INDEX(Part_Categories!$A$2:$A$18,MATCH(D443,Part_Categories!$B$2:$B$18,0))&amp;"-01","CHECK")</f>
        <v>CAR-5H-SAF-01</v>
      </c>
      <c r="F443" s="16" t="str">
        <f aca="false">E443&amp;".jpg"</f>
        <v>CAR-5H-SAF-01.jpg</v>
      </c>
      <c r="G443" s="18" t="str">
        <f aca="false">IFERROR(INDEX(Series!$F$2:$F$30,MATCH(C443,Series!$B$2:$B$30,0)),"")</f>
        <v>5H40, 5H46, 5H60, 5H66, 5H80, 5H86, 5H120, 5H126</v>
      </c>
      <c r="H443" s="19"/>
      <c r="I443" s="19"/>
      <c r="J443" s="19"/>
      <c r="K443" s="19" t="s">
        <v>70</v>
      </c>
      <c r="L443" s="19"/>
      <c r="M443" s="19"/>
      <c r="N443" s="19"/>
      <c r="O443" s="18" t="str">
        <f aca="false">C443&amp;" "&amp;D443&amp;" spare part - Efforts Engineers"</f>
        <v>Carrier 5H Series Safety Head and Relief Valve spare part - Efforts Engineers</v>
      </c>
      <c r="P443" s="16" t="str">
        <f aca="false">IFERROR("/"&amp;LOWER(B443)&amp;"/"&amp;INDEX(Series!$D$2:$D$30,MATCH(C443,Series!$B$2:$B$30,0))&amp;"/"&amp;INDEX(Part_Categories!$C$2:$C$18,MATCH(D443,Part_Categories!$B$2:$B$18,0)),"CHECK")</f>
        <v>/carrier/5h/safety-head-and-relief-valve</v>
      </c>
      <c r="Q443" s="19"/>
    </row>
    <row r="444" customFormat="false" ht="23.85" hidden="false" customHeight="false" outlineLevel="0" collapsed="false">
      <c r="A444" s="16" t="n">
        <f aca="false">ROW()-1</f>
        <v>443</v>
      </c>
      <c r="B444" s="17" t="s">
        <v>79</v>
      </c>
      <c r="C444" s="17" t="s">
        <v>131</v>
      </c>
      <c r="D444" s="17" t="s">
        <v>58</v>
      </c>
      <c r="E444" s="16" t="str">
        <f aca="false">IFERROR(INDEX(Lists!$B$2:$B$7,MATCH(B444,Lists!$A$2:$A$7,0))&amp;"-"&amp;INDEX(Series!$C$2:$C$30,MATCH(C444,Series!$B$2:$B$30,0))&amp;"-"&amp;INDEX(Part_Categories!$A$2:$A$18,MATCH(D444,Part_Categories!$B$2:$B$18,0))&amp;"-01","CHECK")</f>
        <v>CAR-5F-CLN-01</v>
      </c>
      <c r="F444" s="16" t="str">
        <f aca="false">E444&amp;".jpg"</f>
        <v>CAR-5F-CLN-01.jpg</v>
      </c>
      <c r="G444" s="18" t="str">
        <f aca="false">IFERROR(INDEX(Series!$F$2:$F$30,MATCH(C444,Series!$B$2:$B$30,0)),"")</f>
        <v>5F20, 5F30, 5F40, 5F60</v>
      </c>
      <c r="H444" s="19"/>
      <c r="I444" s="19"/>
      <c r="J444" s="19"/>
      <c r="K444" s="19" t="s">
        <v>70</v>
      </c>
      <c r="L444" s="19"/>
      <c r="M444" s="19"/>
      <c r="N444" s="19"/>
      <c r="O444" s="18" t="str">
        <f aca="false">C444&amp;" "&amp;D444&amp;" spare part - Efforts Engineers"</f>
        <v>Carrier 5F Series Cylinder Liner spare part - Efforts Engineers</v>
      </c>
      <c r="P444" s="16" t="str">
        <f aca="false">IFERROR("/"&amp;LOWER(B444)&amp;"/"&amp;INDEX(Series!$D$2:$D$30,MATCH(C444,Series!$B$2:$B$30,0))&amp;"/"&amp;INDEX(Part_Categories!$C$2:$C$18,MATCH(D444,Part_Categories!$B$2:$B$18,0)),"CHECK")</f>
        <v>/carrier/5f/cylinder-liner</v>
      </c>
      <c r="Q444" s="19"/>
    </row>
    <row r="445" customFormat="false" ht="23.85" hidden="false" customHeight="false" outlineLevel="0" collapsed="false">
      <c r="A445" s="16" t="n">
        <f aca="false">ROW()-1</f>
        <v>444</v>
      </c>
      <c r="B445" s="17" t="s">
        <v>79</v>
      </c>
      <c r="C445" s="17" t="s">
        <v>131</v>
      </c>
      <c r="D445" s="17" t="s">
        <v>91</v>
      </c>
      <c r="E445" s="16" t="str">
        <f aca="false">IFERROR(INDEX(Lists!$B$2:$B$7,MATCH(B445,Lists!$A$2:$A$7,0))&amp;"-"&amp;INDEX(Series!$C$2:$C$30,MATCH(C445,Series!$B$2:$B$30,0))&amp;"-"&amp;INDEX(Part_Categories!$A$2:$A$18,MATCH(D445,Part_Categories!$B$2:$B$18,0))&amp;"-01","CHECK")</f>
        <v>CAR-5F-PST-01</v>
      </c>
      <c r="F445" s="16" t="str">
        <f aca="false">E445&amp;".jpg"</f>
        <v>CAR-5F-PST-01.jpg</v>
      </c>
      <c r="G445" s="18" t="str">
        <f aca="false">IFERROR(INDEX(Series!$F$2:$F$30,MATCH(C445,Series!$B$2:$B$30,0)),"")</f>
        <v>5F20, 5F30, 5F40, 5F60</v>
      </c>
      <c r="H445" s="19"/>
      <c r="I445" s="19"/>
      <c r="J445" s="19"/>
      <c r="K445" s="19" t="s">
        <v>70</v>
      </c>
      <c r="L445" s="19"/>
      <c r="M445" s="19"/>
      <c r="N445" s="19"/>
      <c r="O445" s="18" t="str">
        <f aca="false">C445&amp;" "&amp;D445&amp;" spare part - Efforts Engineers"</f>
        <v>Carrier 5F Series Piston Assembly spare part - Efforts Engineers</v>
      </c>
      <c r="P445" s="16" t="str">
        <f aca="false">IFERROR("/"&amp;LOWER(B445)&amp;"/"&amp;INDEX(Series!$D$2:$D$30,MATCH(C445,Series!$B$2:$B$30,0))&amp;"/"&amp;INDEX(Part_Categories!$C$2:$C$18,MATCH(D445,Part_Categories!$B$2:$B$18,0)),"CHECK")</f>
        <v>/carrier/5f/piston-assembly</v>
      </c>
      <c r="Q445" s="19"/>
    </row>
    <row r="446" customFormat="false" ht="23.85" hidden="false" customHeight="false" outlineLevel="0" collapsed="false">
      <c r="A446" s="16" t="n">
        <f aca="false">ROW()-1</f>
        <v>445</v>
      </c>
      <c r="B446" s="17" t="s">
        <v>79</v>
      </c>
      <c r="C446" s="17" t="s">
        <v>131</v>
      </c>
      <c r="D446" s="17" t="s">
        <v>92</v>
      </c>
      <c r="E446" s="16" t="str">
        <f aca="false">IFERROR(INDEX(Lists!$B$2:$B$7,MATCH(B446,Lists!$A$2:$A$7,0))&amp;"-"&amp;INDEX(Series!$C$2:$C$30,MATCH(C446,Series!$B$2:$B$30,0))&amp;"-"&amp;INDEX(Part_Categories!$A$2:$A$18,MATCH(D446,Part_Categories!$B$2:$B$18,0))&amp;"-01","CHECK")</f>
        <v>CAR-5F-PRG-01</v>
      </c>
      <c r="F446" s="16" t="str">
        <f aca="false">E446&amp;".jpg"</f>
        <v>CAR-5F-PRG-01.jpg</v>
      </c>
      <c r="G446" s="18" t="str">
        <f aca="false">IFERROR(INDEX(Series!$F$2:$F$30,MATCH(C446,Series!$B$2:$B$30,0)),"")</f>
        <v>5F20, 5F30, 5F40, 5F60</v>
      </c>
      <c r="H446" s="19"/>
      <c r="I446" s="19"/>
      <c r="J446" s="19"/>
      <c r="K446" s="19" t="s">
        <v>70</v>
      </c>
      <c r="L446" s="19"/>
      <c r="M446" s="19"/>
      <c r="N446" s="19"/>
      <c r="O446" s="18" t="str">
        <f aca="false">C446&amp;" "&amp;D446&amp;" spare part - Efforts Engineers"</f>
        <v>Carrier 5F Series Piston Ring Set spare part - Efforts Engineers</v>
      </c>
      <c r="P446" s="16" t="str">
        <f aca="false">IFERROR("/"&amp;LOWER(B446)&amp;"/"&amp;INDEX(Series!$D$2:$D$30,MATCH(C446,Series!$B$2:$B$30,0))&amp;"/"&amp;INDEX(Part_Categories!$C$2:$C$18,MATCH(D446,Part_Categories!$B$2:$B$18,0)),"CHECK")</f>
        <v>/carrier/5f/piston-ring-set</v>
      </c>
      <c r="Q446" s="19"/>
    </row>
    <row r="447" customFormat="false" ht="23.85" hidden="false" customHeight="false" outlineLevel="0" collapsed="false">
      <c r="A447" s="16" t="n">
        <f aca="false">ROW()-1</f>
        <v>446</v>
      </c>
      <c r="B447" s="17" t="s">
        <v>79</v>
      </c>
      <c r="C447" s="17" t="s">
        <v>131</v>
      </c>
      <c r="D447" s="17" t="s">
        <v>93</v>
      </c>
      <c r="E447" s="16" t="str">
        <f aca="false">IFERROR(INDEX(Lists!$B$2:$B$7,MATCH(B447,Lists!$A$2:$A$7,0))&amp;"-"&amp;INDEX(Series!$C$2:$C$30,MATCH(C447,Series!$B$2:$B$30,0))&amp;"-"&amp;INDEX(Part_Categories!$A$2:$A$18,MATCH(D447,Part_Categories!$B$2:$B$18,0))&amp;"-01","CHECK")</f>
        <v>CAR-5F-CRD-01</v>
      </c>
      <c r="F447" s="16" t="str">
        <f aca="false">E447&amp;".jpg"</f>
        <v>CAR-5F-CRD-01.jpg</v>
      </c>
      <c r="G447" s="18" t="str">
        <f aca="false">IFERROR(INDEX(Series!$F$2:$F$30,MATCH(C447,Series!$B$2:$B$30,0)),"")</f>
        <v>5F20, 5F30, 5F40, 5F60</v>
      </c>
      <c r="H447" s="19"/>
      <c r="I447" s="19"/>
      <c r="J447" s="19"/>
      <c r="K447" s="19" t="s">
        <v>70</v>
      </c>
      <c r="L447" s="19"/>
      <c r="M447" s="19"/>
      <c r="N447" s="19"/>
      <c r="O447" s="18" t="str">
        <f aca="false">C447&amp;" "&amp;D447&amp;" spare part - Efforts Engineers"</f>
        <v>Carrier 5F Series Connecting Rod spare part - Efforts Engineers</v>
      </c>
      <c r="P447" s="16" t="str">
        <f aca="false">IFERROR("/"&amp;LOWER(B447)&amp;"/"&amp;INDEX(Series!$D$2:$D$30,MATCH(C447,Series!$B$2:$B$30,0))&amp;"/"&amp;INDEX(Part_Categories!$C$2:$C$18,MATCH(D447,Part_Categories!$B$2:$B$18,0)),"CHECK")</f>
        <v>/carrier/5f/connecting-rod</v>
      </c>
      <c r="Q447" s="19"/>
    </row>
    <row r="448" customFormat="false" ht="23.85" hidden="false" customHeight="false" outlineLevel="0" collapsed="false">
      <c r="A448" s="16" t="n">
        <f aca="false">ROW()-1</f>
        <v>447</v>
      </c>
      <c r="B448" s="17" t="s">
        <v>79</v>
      </c>
      <c r="C448" s="17" t="s">
        <v>131</v>
      </c>
      <c r="D448" s="17" t="s">
        <v>94</v>
      </c>
      <c r="E448" s="16" t="str">
        <f aca="false">IFERROR(INDEX(Lists!$B$2:$B$7,MATCH(B448,Lists!$A$2:$A$7,0))&amp;"-"&amp;INDEX(Series!$C$2:$C$30,MATCH(C448,Series!$B$2:$B$30,0))&amp;"-"&amp;INDEX(Part_Categories!$A$2:$A$18,MATCH(D448,Part_Categories!$B$2:$B$18,0))&amp;"-01","CHECK")</f>
        <v>CAR-5F-CRK-01</v>
      </c>
      <c r="F448" s="16" t="str">
        <f aca="false">E448&amp;".jpg"</f>
        <v>CAR-5F-CRK-01.jpg</v>
      </c>
      <c r="G448" s="18" t="str">
        <f aca="false">IFERROR(INDEX(Series!$F$2:$F$30,MATCH(C448,Series!$B$2:$B$30,0)),"")</f>
        <v>5F20, 5F30, 5F40, 5F60</v>
      </c>
      <c r="H448" s="19"/>
      <c r="I448" s="19"/>
      <c r="J448" s="19"/>
      <c r="K448" s="19" t="s">
        <v>70</v>
      </c>
      <c r="L448" s="19"/>
      <c r="M448" s="19"/>
      <c r="N448" s="19"/>
      <c r="O448" s="18" t="str">
        <f aca="false">C448&amp;" "&amp;D448&amp;" spare part - Efforts Engineers"</f>
        <v>Carrier 5F Series Crankshaft spare part - Efforts Engineers</v>
      </c>
      <c r="P448" s="16" t="str">
        <f aca="false">IFERROR("/"&amp;LOWER(B448)&amp;"/"&amp;INDEX(Series!$D$2:$D$30,MATCH(C448,Series!$B$2:$B$30,0))&amp;"/"&amp;INDEX(Part_Categories!$C$2:$C$18,MATCH(D448,Part_Categories!$B$2:$B$18,0)),"CHECK")</f>
        <v>/carrier/5f/crankshaft</v>
      </c>
      <c r="Q448" s="19"/>
    </row>
    <row r="449" customFormat="false" ht="23.85" hidden="false" customHeight="false" outlineLevel="0" collapsed="false">
      <c r="A449" s="16" t="n">
        <f aca="false">ROW()-1</f>
        <v>448</v>
      </c>
      <c r="B449" s="17" t="s">
        <v>79</v>
      </c>
      <c r="C449" s="17" t="s">
        <v>131</v>
      </c>
      <c r="D449" s="17" t="s">
        <v>95</v>
      </c>
      <c r="E449" s="16" t="str">
        <f aca="false">IFERROR(INDEX(Lists!$B$2:$B$7,MATCH(B449,Lists!$A$2:$A$7,0))&amp;"-"&amp;INDEX(Series!$C$2:$C$30,MATCH(C449,Series!$B$2:$B$30,0))&amp;"-"&amp;INDEX(Part_Categories!$A$2:$A$18,MATCH(D449,Part_Categories!$B$2:$B$18,0))&amp;"-01","CHECK")</f>
        <v>CAR-5F-PIN-01</v>
      </c>
      <c r="F449" s="16" t="str">
        <f aca="false">E449&amp;".jpg"</f>
        <v>CAR-5F-PIN-01.jpg</v>
      </c>
      <c r="G449" s="18" t="str">
        <f aca="false">IFERROR(INDEX(Series!$F$2:$F$30,MATCH(C449,Series!$B$2:$B$30,0)),"")</f>
        <v>5F20, 5F30, 5F40, 5F60</v>
      </c>
      <c r="H449" s="19"/>
      <c r="I449" s="19"/>
      <c r="J449" s="19"/>
      <c r="K449" s="19" t="s">
        <v>70</v>
      </c>
      <c r="L449" s="19"/>
      <c r="M449" s="19"/>
      <c r="N449" s="19"/>
      <c r="O449" s="18" t="str">
        <f aca="false">C449&amp;" "&amp;D449&amp;" spare part - Efforts Engineers"</f>
        <v>Carrier 5F Series Gudgeon Pin and Bush spare part - Efforts Engineers</v>
      </c>
      <c r="P449" s="16" t="str">
        <f aca="false">IFERROR("/"&amp;LOWER(B449)&amp;"/"&amp;INDEX(Series!$D$2:$D$30,MATCH(C449,Series!$B$2:$B$30,0))&amp;"/"&amp;INDEX(Part_Categories!$C$2:$C$18,MATCH(D449,Part_Categories!$B$2:$B$18,0)),"CHECK")</f>
        <v>/carrier/5f/gudgeon-pin-and-bush</v>
      </c>
      <c r="Q449" s="19"/>
    </row>
    <row r="450" customFormat="false" ht="23.85" hidden="false" customHeight="false" outlineLevel="0" collapsed="false">
      <c r="A450" s="16" t="n">
        <f aca="false">ROW()-1</f>
        <v>449</v>
      </c>
      <c r="B450" s="17" t="s">
        <v>79</v>
      </c>
      <c r="C450" s="17" t="s">
        <v>131</v>
      </c>
      <c r="D450" s="17" t="s">
        <v>96</v>
      </c>
      <c r="E450" s="16" t="str">
        <f aca="false">IFERROR(INDEX(Lists!$B$2:$B$7,MATCH(B450,Lists!$A$2:$A$7,0))&amp;"-"&amp;INDEX(Series!$C$2:$C$30,MATCH(C450,Series!$B$2:$B$30,0))&amp;"-"&amp;INDEX(Part_Categories!$A$2:$A$18,MATCH(D450,Part_Categories!$B$2:$B$18,0))&amp;"-01","CHECK")</f>
        <v>CAR-5F-BRG-01</v>
      </c>
      <c r="F450" s="16" t="str">
        <f aca="false">E450&amp;".jpg"</f>
        <v>CAR-5F-BRG-01.jpg</v>
      </c>
      <c r="G450" s="18" t="str">
        <f aca="false">IFERROR(INDEX(Series!$F$2:$F$30,MATCH(C450,Series!$B$2:$B$30,0)),"")</f>
        <v>5F20, 5F30, 5F40, 5F60</v>
      </c>
      <c r="H450" s="19"/>
      <c r="I450" s="19"/>
      <c r="J450" s="19"/>
      <c r="K450" s="19" t="s">
        <v>70</v>
      </c>
      <c r="L450" s="19"/>
      <c r="M450" s="19"/>
      <c r="N450" s="19"/>
      <c r="O450" s="18" t="str">
        <f aca="false">C450&amp;" "&amp;D450&amp;" spare part - Efforts Engineers"</f>
        <v>Carrier 5F Series Main Bearing and Bush spare part - Efforts Engineers</v>
      </c>
      <c r="P450" s="16" t="str">
        <f aca="false">IFERROR("/"&amp;LOWER(B450)&amp;"/"&amp;INDEX(Series!$D$2:$D$30,MATCH(C450,Series!$B$2:$B$30,0))&amp;"/"&amp;INDEX(Part_Categories!$C$2:$C$18,MATCH(D450,Part_Categories!$B$2:$B$18,0)),"CHECK")</f>
        <v>/carrier/5f/main-bearing-and-bush</v>
      </c>
      <c r="Q450" s="19"/>
    </row>
    <row r="451" customFormat="false" ht="23.85" hidden="false" customHeight="false" outlineLevel="0" collapsed="false">
      <c r="A451" s="16" t="n">
        <f aca="false">ROW()-1</f>
        <v>450</v>
      </c>
      <c r="B451" s="17" t="s">
        <v>79</v>
      </c>
      <c r="C451" s="17" t="s">
        <v>131</v>
      </c>
      <c r="D451" s="17" t="s">
        <v>97</v>
      </c>
      <c r="E451" s="16" t="str">
        <f aca="false">IFERROR(INDEX(Lists!$B$2:$B$7,MATCH(B451,Lists!$A$2:$A$7,0))&amp;"-"&amp;INDEX(Series!$C$2:$C$30,MATCH(C451,Series!$B$2:$B$30,0))&amp;"-"&amp;INDEX(Part_Categories!$A$2:$A$18,MATCH(D451,Part_Categories!$B$2:$B$18,0))&amp;"-01","CHECK")</f>
        <v>CAR-5F-SVP-01</v>
      </c>
      <c r="F451" s="16" t="str">
        <f aca="false">E451&amp;".jpg"</f>
        <v>CAR-5F-SVP-01.jpg</v>
      </c>
      <c r="G451" s="18" t="str">
        <f aca="false">IFERROR(INDEX(Series!$F$2:$F$30,MATCH(C451,Series!$B$2:$B$30,0)),"")</f>
        <v>5F20, 5F30, 5F40, 5F60</v>
      </c>
      <c r="H451" s="19"/>
      <c r="I451" s="19"/>
      <c r="J451" s="19"/>
      <c r="K451" s="19" t="s">
        <v>70</v>
      </c>
      <c r="L451" s="19"/>
      <c r="M451" s="19"/>
      <c r="N451" s="19"/>
      <c r="O451" s="18" t="str">
        <f aca="false">C451&amp;" "&amp;D451&amp;" spare part - Efforts Engineers"</f>
        <v>Carrier 5F Series Suction Valve Plate spare part - Efforts Engineers</v>
      </c>
      <c r="P451" s="16" t="str">
        <f aca="false">IFERROR("/"&amp;LOWER(B451)&amp;"/"&amp;INDEX(Series!$D$2:$D$30,MATCH(C451,Series!$B$2:$B$30,0))&amp;"/"&amp;INDEX(Part_Categories!$C$2:$C$18,MATCH(D451,Part_Categories!$B$2:$B$18,0)),"CHECK")</f>
        <v>/carrier/5f/suction-valve-plate</v>
      </c>
      <c r="Q451" s="19"/>
    </row>
    <row r="452" customFormat="false" ht="23.85" hidden="false" customHeight="false" outlineLevel="0" collapsed="false">
      <c r="A452" s="16" t="n">
        <f aca="false">ROW()-1</f>
        <v>451</v>
      </c>
      <c r="B452" s="17" t="s">
        <v>79</v>
      </c>
      <c r="C452" s="17" t="s">
        <v>131</v>
      </c>
      <c r="D452" s="17" t="s">
        <v>98</v>
      </c>
      <c r="E452" s="16" t="str">
        <f aca="false">IFERROR(INDEX(Lists!$B$2:$B$7,MATCH(B452,Lists!$A$2:$A$7,0))&amp;"-"&amp;INDEX(Series!$C$2:$C$30,MATCH(C452,Series!$B$2:$B$30,0))&amp;"-"&amp;INDEX(Part_Categories!$A$2:$A$18,MATCH(D452,Part_Categories!$B$2:$B$18,0))&amp;"-01","CHECK")</f>
        <v>CAR-5F-DVA-01</v>
      </c>
      <c r="F452" s="16" t="str">
        <f aca="false">E452&amp;".jpg"</f>
        <v>CAR-5F-DVA-01.jpg</v>
      </c>
      <c r="G452" s="18" t="str">
        <f aca="false">IFERROR(INDEX(Series!$F$2:$F$30,MATCH(C452,Series!$B$2:$B$30,0)),"")</f>
        <v>5F20, 5F30, 5F40, 5F60</v>
      </c>
      <c r="H452" s="19"/>
      <c r="I452" s="19"/>
      <c r="J452" s="19"/>
      <c r="K452" s="19" t="s">
        <v>70</v>
      </c>
      <c r="L452" s="19"/>
      <c r="M452" s="19"/>
      <c r="N452" s="19"/>
      <c r="O452" s="18" t="str">
        <f aca="false">C452&amp;" "&amp;D452&amp;" spare part - Efforts Engineers"</f>
        <v>Carrier 5F Series Discharge Valve Assembly spare part - Efforts Engineers</v>
      </c>
      <c r="P452" s="16" t="str">
        <f aca="false">IFERROR("/"&amp;LOWER(B452)&amp;"/"&amp;INDEX(Series!$D$2:$D$30,MATCH(C452,Series!$B$2:$B$30,0))&amp;"/"&amp;INDEX(Part_Categories!$C$2:$C$18,MATCH(D452,Part_Categories!$B$2:$B$18,0)),"CHECK")</f>
        <v>/carrier/5f/discharge-valve-assembly</v>
      </c>
      <c r="Q452" s="19"/>
    </row>
    <row r="453" customFormat="false" ht="23.85" hidden="false" customHeight="false" outlineLevel="0" collapsed="false">
      <c r="A453" s="16" t="n">
        <f aca="false">ROW()-1</f>
        <v>452</v>
      </c>
      <c r="B453" s="17" t="s">
        <v>79</v>
      </c>
      <c r="C453" s="17" t="s">
        <v>131</v>
      </c>
      <c r="D453" s="17" t="s">
        <v>99</v>
      </c>
      <c r="E453" s="16" t="str">
        <f aca="false">IFERROR(INDEX(Lists!$B$2:$B$7,MATCH(B453,Lists!$A$2:$A$7,0))&amp;"-"&amp;INDEX(Series!$C$2:$C$30,MATCH(C453,Series!$B$2:$B$30,0))&amp;"-"&amp;INDEX(Part_Categories!$A$2:$A$18,MATCH(D453,Part_Categories!$B$2:$B$18,0))&amp;"-01","CHECK")</f>
        <v>CAR-5F-VSP-01</v>
      </c>
      <c r="F453" s="16" t="str">
        <f aca="false">E453&amp;".jpg"</f>
        <v>CAR-5F-VSP-01.jpg</v>
      </c>
      <c r="G453" s="18" t="str">
        <f aca="false">IFERROR(INDEX(Series!$F$2:$F$30,MATCH(C453,Series!$B$2:$B$30,0)),"")</f>
        <v>5F20, 5F30, 5F40, 5F60</v>
      </c>
      <c r="H453" s="19"/>
      <c r="I453" s="19"/>
      <c r="J453" s="19"/>
      <c r="K453" s="19" t="s">
        <v>70</v>
      </c>
      <c r="L453" s="19"/>
      <c r="M453" s="19"/>
      <c r="N453" s="19"/>
      <c r="O453" s="18" t="str">
        <f aca="false">C453&amp;" "&amp;D453&amp;" spare part - Efforts Engineers"</f>
        <v>Carrier 5F Series Valve Spring and Cage spare part - Efforts Engineers</v>
      </c>
      <c r="P453" s="16" t="str">
        <f aca="false">IFERROR("/"&amp;LOWER(B453)&amp;"/"&amp;INDEX(Series!$D$2:$D$30,MATCH(C453,Series!$B$2:$B$30,0))&amp;"/"&amp;INDEX(Part_Categories!$C$2:$C$18,MATCH(D453,Part_Categories!$B$2:$B$18,0)),"CHECK")</f>
        <v>/carrier/5f/valve-spring-and-cage</v>
      </c>
      <c r="Q453" s="19"/>
    </row>
    <row r="454" customFormat="false" ht="23.85" hidden="false" customHeight="false" outlineLevel="0" collapsed="false">
      <c r="A454" s="16" t="n">
        <f aca="false">ROW()-1</f>
        <v>453</v>
      </c>
      <c r="B454" s="17" t="s">
        <v>79</v>
      </c>
      <c r="C454" s="17" t="s">
        <v>131</v>
      </c>
      <c r="D454" s="17" t="s">
        <v>100</v>
      </c>
      <c r="E454" s="16" t="str">
        <f aca="false">IFERROR(INDEX(Lists!$B$2:$B$7,MATCH(B454,Lists!$A$2:$A$7,0))&amp;"-"&amp;INDEX(Series!$C$2:$C$30,MATCH(C454,Series!$B$2:$B$30,0))&amp;"-"&amp;INDEX(Part_Categories!$A$2:$A$18,MATCH(D454,Part_Categories!$B$2:$B$18,0))&amp;"-01","CHECK")</f>
        <v>CAR-5F-HDC-01</v>
      </c>
      <c r="F454" s="16" t="str">
        <f aca="false">E454&amp;".jpg"</f>
        <v>CAR-5F-HDC-01.jpg</v>
      </c>
      <c r="G454" s="18" t="str">
        <f aca="false">IFERROR(INDEX(Series!$F$2:$F$30,MATCH(C454,Series!$B$2:$B$30,0)),"")</f>
        <v>5F20, 5F30, 5F40, 5F60</v>
      </c>
      <c r="H454" s="19"/>
      <c r="I454" s="19"/>
      <c r="J454" s="19"/>
      <c r="K454" s="19" t="s">
        <v>70</v>
      </c>
      <c r="L454" s="19"/>
      <c r="M454" s="19"/>
      <c r="N454" s="19"/>
      <c r="O454" s="18" t="str">
        <f aca="false">C454&amp;" "&amp;D454&amp;" spare part - Efforts Engineers"</f>
        <v>Carrier 5F Series Cylinder Head Cover spare part - Efforts Engineers</v>
      </c>
      <c r="P454" s="16" t="str">
        <f aca="false">IFERROR("/"&amp;LOWER(B454)&amp;"/"&amp;INDEX(Series!$D$2:$D$30,MATCH(C454,Series!$B$2:$B$30,0))&amp;"/"&amp;INDEX(Part_Categories!$C$2:$C$18,MATCH(D454,Part_Categories!$B$2:$B$18,0)),"CHECK")</f>
        <v>/carrier/5f/cylinder-head-cover</v>
      </c>
      <c r="Q454" s="19"/>
    </row>
    <row r="455" customFormat="false" ht="23.85" hidden="false" customHeight="false" outlineLevel="0" collapsed="false">
      <c r="A455" s="16" t="n">
        <f aca="false">ROW()-1</f>
        <v>454</v>
      </c>
      <c r="B455" s="17" t="s">
        <v>79</v>
      </c>
      <c r="C455" s="17" t="s">
        <v>131</v>
      </c>
      <c r="D455" s="17" t="s">
        <v>101</v>
      </c>
      <c r="E455" s="16" t="str">
        <f aca="false">IFERROR(INDEX(Lists!$B$2:$B$7,MATCH(B455,Lists!$A$2:$A$7,0))&amp;"-"&amp;INDEX(Series!$C$2:$C$30,MATCH(C455,Series!$B$2:$B$30,0))&amp;"-"&amp;INDEX(Part_Categories!$A$2:$A$18,MATCH(D455,Part_Categories!$B$2:$B$18,0))&amp;"-01","CHECK")</f>
        <v>CAR-5F-GSK-01</v>
      </c>
      <c r="F455" s="16" t="str">
        <f aca="false">E455&amp;".jpg"</f>
        <v>CAR-5F-GSK-01.jpg</v>
      </c>
      <c r="G455" s="18" t="str">
        <f aca="false">IFERROR(INDEX(Series!$F$2:$F$30,MATCH(C455,Series!$B$2:$B$30,0)),"")</f>
        <v>5F20, 5F30, 5F40, 5F60</v>
      </c>
      <c r="H455" s="19"/>
      <c r="I455" s="19"/>
      <c r="J455" s="19"/>
      <c r="K455" s="19" t="s">
        <v>70</v>
      </c>
      <c r="L455" s="19"/>
      <c r="M455" s="19"/>
      <c r="N455" s="19"/>
      <c r="O455" s="18" t="str">
        <f aca="false">C455&amp;" "&amp;D455&amp;" spare part - Efforts Engineers"</f>
        <v>Carrier 5F Series Gasket and Overhaul Kit spare part - Efforts Engineers</v>
      </c>
      <c r="P455" s="16" t="str">
        <f aca="false">IFERROR("/"&amp;LOWER(B455)&amp;"/"&amp;INDEX(Series!$D$2:$D$30,MATCH(C455,Series!$B$2:$B$30,0))&amp;"/"&amp;INDEX(Part_Categories!$C$2:$C$18,MATCH(D455,Part_Categories!$B$2:$B$18,0)),"CHECK")</f>
        <v>/carrier/5f/gasket-and-overhaul-kit</v>
      </c>
      <c r="Q455" s="19"/>
    </row>
    <row r="456" customFormat="false" ht="23.85" hidden="false" customHeight="false" outlineLevel="0" collapsed="false">
      <c r="A456" s="16" t="n">
        <f aca="false">ROW()-1</f>
        <v>455</v>
      </c>
      <c r="B456" s="17" t="s">
        <v>79</v>
      </c>
      <c r="C456" s="17" t="s">
        <v>131</v>
      </c>
      <c r="D456" s="17" t="s">
        <v>102</v>
      </c>
      <c r="E456" s="16" t="str">
        <f aca="false">IFERROR(INDEX(Lists!$B$2:$B$7,MATCH(B456,Lists!$A$2:$A$7,0))&amp;"-"&amp;INDEX(Series!$C$2:$C$30,MATCH(C456,Series!$B$2:$B$30,0))&amp;"-"&amp;INDEX(Part_Categories!$A$2:$A$18,MATCH(D456,Part_Categories!$B$2:$B$18,0))&amp;"-01","CHECK")</f>
        <v>CAR-5F-OPA-01</v>
      </c>
      <c r="F456" s="16" t="str">
        <f aca="false">E456&amp;".jpg"</f>
        <v>CAR-5F-OPA-01.jpg</v>
      </c>
      <c r="G456" s="18" t="str">
        <f aca="false">IFERROR(INDEX(Series!$F$2:$F$30,MATCH(C456,Series!$B$2:$B$30,0)),"")</f>
        <v>5F20, 5F30, 5F40, 5F60</v>
      </c>
      <c r="H456" s="19"/>
      <c r="I456" s="19"/>
      <c r="J456" s="19"/>
      <c r="K456" s="19" t="s">
        <v>70</v>
      </c>
      <c r="L456" s="19"/>
      <c r="M456" s="19"/>
      <c r="N456" s="19"/>
      <c r="O456" s="18" t="str">
        <f aca="false">C456&amp;" "&amp;D456&amp;" spare part - Efforts Engineers"</f>
        <v>Carrier 5F Series Oil Pump Assembly spare part - Efforts Engineers</v>
      </c>
      <c r="P456" s="16" t="str">
        <f aca="false">IFERROR("/"&amp;LOWER(B456)&amp;"/"&amp;INDEX(Series!$D$2:$D$30,MATCH(C456,Series!$B$2:$B$30,0))&amp;"/"&amp;INDEX(Part_Categories!$C$2:$C$18,MATCH(D456,Part_Categories!$B$2:$B$18,0)),"CHECK")</f>
        <v>/carrier/5f/oil-pump-assembly</v>
      </c>
      <c r="Q456" s="19"/>
    </row>
    <row r="457" customFormat="false" ht="23.85" hidden="false" customHeight="false" outlineLevel="0" collapsed="false">
      <c r="A457" s="16" t="n">
        <f aca="false">ROW()-1</f>
        <v>456</v>
      </c>
      <c r="B457" s="17" t="s">
        <v>79</v>
      </c>
      <c r="C457" s="17" t="s">
        <v>131</v>
      </c>
      <c r="D457" s="17" t="s">
        <v>103</v>
      </c>
      <c r="E457" s="16" t="str">
        <f aca="false">IFERROR(INDEX(Lists!$B$2:$B$7,MATCH(B457,Lists!$A$2:$A$7,0))&amp;"-"&amp;INDEX(Series!$C$2:$C$30,MATCH(C457,Series!$B$2:$B$30,0))&amp;"-"&amp;INDEX(Part_Categories!$A$2:$A$18,MATCH(D457,Part_Categories!$B$2:$B$18,0))&amp;"-01","CHECK")</f>
        <v>CAR-5F-SHS-01</v>
      </c>
      <c r="F457" s="16" t="str">
        <f aca="false">E457&amp;".jpg"</f>
        <v>CAR-5F-SHS-01.jpg</v>
      </c>
      <c r="G457" s="18" t="str">
        <f aca="false">IFERROR(INDEX(Series!$F$2:$F$30,MATCH(C457,Series!$B$2:$B$30,0)),"")</f>
        <v>5F20, 5F30, 5F40, 5F60</v>
      </c>
      <c r="H457" s="19"/>
      <c r="I457" s="19"/>
      <c r="J457" s="19"/>
      <c r="K457" s="19" t="s">
        <v>70</v>
      </c>
      <c r="L457" s="19"/>
      <c r="M457" s="19"/>
      <c r="N457" s="19"/>
      <c r="O457" s="18" t="str">
        <f aca="false">C457&amp;" "&amp;D457&amp;" spare part - Efforts Engineers"</f>
        <v>Carrier 5F Series Shaft Seal spare part - Efforts Engineers</v>
      </c>
      <c r="P457" s="16" t="str">
        <f aca="false">IFERROR("/"&amp;LOWER(B457)&amp;"/"&amp;INDEX(Series!$D$2:$D$30,MATCH(C457,Series!$B$2:$B$30,0))&amp;"/"&amp;INDEX(Part_Categories!$C$2:$C$18,MATCH(D457,Part_Categories!$B$2:$B$18,0)),"CHECK")</f>
        <v>/carrier/5f/shaft-seal</v>
      </c>
      <c r="Q457" s="19"/>
    </row>
    <row r="458" customFormat="false" ht="23.85" hidden="false" customHeight="false" outlineLevel="0" collapsed="false">
      <c r="A458" s="16" t="n">
        <f aca="false">ROW()-1</f>
        <v>457</v>
      </c>
      <c r="B458" s="17" t="s">
        <v>79</v>
      </c>
      <c r="C458" s="17" t="s">
        <v>131</v>
      </c>
      <c r="D458" s="17" t="s">
        <v>104</v>
      </c>
      <c r="E458" s="16" t="str">
        <f aca="false">IFERROR(INDEX(Lists!$B$2:$B$7,MATCH(B458,Lists!$A$2:$A$7,0))&amp;"-"&amp;INDEX(Series!$C$2:$C$30,MATCH(C458,Series!$B$2:$B$30,0))&amp;"-"&amp;INDEX(Part_Categories!$A$2:$A$18,MATCH(D458,Part_Categories!$B$2:$B$18,0))&amp;"-01","CHECK")</f>
        <v>CAR-5F-FLT-01</v>
      </c>
      <c r="F458" s="16" t="str">
        <f aca="false">E458&amp;".jpg"</f>
        <v>CAR-5F-FLT-01.jpg</v>
      </c>
      <c r="G458" s="18" t="str">
        <f aca="false">IFERROR(INDEX(Series!$F$2:$F$30,MATCH(C458,Series!$B$2:$B$30,0)),"")</f>
        <v>5F20, 5F30, 5F40, 5F60</v>
      </c>
      <c r="H458" s="19"/>
      <c r="I458" s="19"/>
      <c r="J458" s="19"/>
      <c r="K458" s="19" t="s">
        <v>70</v>
      </c>
      <c r="L458" s="19"/>
      <c r="M458" s="19"/>
      <c r="N458" s="19"/>
      <c r="O458" s="18" t="str">
        <f aca="false">C458&amp;" "&amp;D458&amp;" spare part - Efforts Engineers"</f>
        <v>Carrier 5F Series Oil Filter and Strainer spare part - Efforts Engineers</v>
      </c>
      <c r="P458" s="16" t="str">
        <f aca="false">IFERROR("/"&amp;LOWER(B458)&amp;"/"&amp;INDEX(Series!$D$2:$D$30,MATCH(C458,Series!$B$2:$B$30,0))&amp;"/"&amp;INDEX(Part_Categories!$C$2:$C$18,MATCH(D458,Part_Categories!$B$2:$B$18,0)),"CHECK")</f>
        <v>/carrier/5f/oil-filter-and-strainer</v>
      </c>
      <c r="Q458" s="19"/>
    </row>
    <row r="459" customFormat="false" ht="23.85" hidden="false" customHeight="false" outlineLevel="0" collapsed="false">
      <c r="A459" s="16" t="n">
        <f aca="false">ROW()-1</f>
        <v>458</v>
      </c>
      <c r="B459" s="17" t="s">
        <v>79</v>
      </c>
      <c r="C459" s="17" t="s">
        <v>131</v>
      </c>
      <c r="D459" s="17" t="s">
        <v>105</v>
      </c>
      <c r="E459" s="16" t="str">
        <f aca="false">IFERROR(INDEX(Lists!$B$2:$B$7,MATCH(B459,Lists!$A$2:$A$7,0))&amp;"-"&amp;INDEX(Series!$C$2:$C$30,MATCH(C459,Series!$B$2:$B$30,0))&amp;"-"&amp;INDEX(Part_Categories!$A$2:$A$18,MATCH(D459,Part_Categories!$B$2:$B$18,0))&amp;"-01","CHECK")</f>
        <v>CAR-5F-ULD-01</v>
      </c>
      <c r="F459" s="16" t="str">
        <f aca="false">E459&amp;".jpg"</f>
        <v>CAR-5F-ULD-01.jpg</v>
      </c>
      <c r="G459" s="18" t="str">
        <f aca="false">IFERROR(INDEX(Series!$F$2:$F$30,MATCH(C459,Series!$B$2:$B$30,0)),"")</f>
        <v>5F20, 5F30, 5F40, 5F60</v>
      </c>
      <c r="H459" s="19"/>
      <c r="I459" s="19"/>
      <c r="J459" s="19"/>
      <c r="K459" s="19" t="s">
        <v>70</v>
      </c>
      <c r="L459" s="19"/>
      <c r="M459" s="19"/>
      <c r="N459" s="19"/>
      <c r="O459" s="18" t="str">
        <f aca="false">C459&amp;" "&amp;D459&amp;" spare part - Efforts Engineers"</f>
        <v>Carrier 5F Series Unloader and Capacity Control spare part - Efforts Engineers</v>
      </c>
      <c r="P459" s="16" t="str">
        <f aca="false">IFERROR("/"&amp;LOWER(B459)&amp;"/"&amp;INDEX(Series!$D$2:$D$30,MATCH(C459,Series!$B$2:$B$30,0))&amp;"/"&amp;INDEX(Part_Categories!$C$2:$C$18,MATCH(D459,Part_Categories!$B$2:$B$18,0)),"CHECK")</f>
        <v>/carrier/5f/unloader-and-capacity-control</v>
      </c>
      <c r="Q459" s="19"/>
    </row>
    <row r="460" customFormat="false" ht="23.85" hidden="false" customHeight="false" outlineLevel="0" collapsed="false">
      <c r="A460" s="16" t="n">
        <f aca="false">ROW()-1</f>
        <v>459</v>
      </c>
      <c r="B460" s="17" t="s">
        <v>79</v>
      </c>
      <c r="C460" s="17" t="s">
        <v>131</v>
      </c>
      <c r="D460" s="17" t="s">
        <v>106</v>
      </c>
      <c r="E460" s="16" t="str">
        <f aca="false">IFERROR(INDEX(Lists!$B$2:$B$7,MATCH(B460,Lists!$A$2:$A$7,0))&amp;"-"&amp;INDEX(Series!$C$2:$C$30,MATCH(C460,Series!$B$2:$B$30,0))&amp;"-"&amp;INDEX(Part_Categories!$A$2:$A$18,MATCH(D460,Part_Categories!$B$2:$B$18,0))&amp;"-01","CHECK")</f>
        <v>CAR-5F-SAF-01</v>
      </c>
      <c r="F460" s="16" t="str">
        <f aca="false">E460&amp;".jpg"</f>
        <v>CAR-5F-SAF-01.jpg</v>
      </c>
      <c r="G460" s="18" t="str">
        <f aca="false">IFERROR(INDEX(Series!$F$2:$F$30,MATCH(C460,Series!$B$2:$B$30,0)),"")</f>
        <v>5F20, 5F30, 5F40, 5F60</v>
      </c>
      <c r="H460" s="19"/>
      <c r="I460" s="19"/>
      <c r="J460" s="19"/>
      <c r="K460" s="19" t="s">
        <v>70</v>
      </c>
      <c r="L460" s="19"/>
      <c r="M460" s="19"/>
      <c r="N460" s="19"/>
      <c r="O460" s="18" t="str">
        <f aca="false">C460&amp;" "&amp;D460&amp;" spare part - Efforts Engineers"</f>
        <v>Carrier 5F Series Safety Head and Relief Valve spare part - Efforts Engineers</v>
      </c>
      <c r="P460" s="16" t="str">
        <f aca="false">IFERROR("/"&amp;LOWER(B460)&amp;"/"&amp;INDEX(Series!$D$2:$D$30,MATCH(C460,Series!$B$2:$B$30,0))&amp;"/"&amp;INDEX(Part_Categories!$C$2:$C$18,MATCH(D460,Part_Categories!$B$2:$B$18,0)),"CHECK")</f>
        <v>/carrier/5f/safety-head-and-relief-valve</v>
      </c>
      <c r="Q460" s="19"/>
    </row>
    <row r="461" customFormat="false" ht="23.85" hidden="false" customHeight="false" outlineLevel="0" collapsed="false">
      <c r="A461" s="16" t="n">
        <f aca="false">ROW()-1</f>
        <v>460</v>
      </c>
      <c r="B461" s="17" t="s">
        <v>79</v>
      </c>
      <c r="C461" s="17" t="s">
        <v>132</v>
      </c>
      <c r="D461" s="17" t="s">
        <v>58</v>
      </c>
      <c r="E461" s="16" t="str">
        <f aca="false">IFERROR(INDEX(Lists!$B$2:$B$7,MATCH(B461,Lists!$A$2:$A$7,0))&amp;"-"&amp;INDEX(Series!$C$2:$C$30,MATCH(C461,Series!$B$2:$B$30,0))&amp;"-"&amp;INDEX(Part_Categories!$A$2:$A$18,MATCH(D461,Part_Categories!$B$2:$B$18,0))&amp;"-01","CHECK")</f>
        <v>CAR-06D-CLN-01</v>
      </c>
      <c r="F461" s="16" t="str">
        <f aca="false">E461&amp;".jpg"</f>
        <v>CAR-06D-CLN-01.jpg</v>
      </c>
      <c r="G461" s="18" t="str">
        <f aca="false">IFERROR(INDEX(Series!$F$2:$F$30,MATCH(C461,Series!$B$2:$B$30,0)),"")</f>
        <v>06D 48, 06D 68, 06D 75, 06D 018, 06D 024, 06D 037</v>
      </c>
      <c r="H461" s="19"/>
      <c r="I461" s="19"/>
      <c r="J461" s="19"/>
      <c r="K461" s="19" t="s">
        <v>70</v>
      </c>
      <c r="L461" s="19"/>
      <c r="M461" s="19"/>
      <c r="N461" s="19"/>
      <c r="O461" s="18" t="str">
        <f aca="false">C461&amp;" "&amp;D461&amp;" spare part - Efforts Engineers"</f>
        <v>Carrier 06D Series Cylinder Liner spare part - Efforts Engineers</v>
      </c>
      <c r="P461" s="16" t="str">
        <f aca="false">IFERROR("/"&amp;LOWER(B461)&amp;"/"&amp;INDEX(Series!$D$2:$D$30,MATCH(C461,Series!$B$2:$B$30,0))&amp;"/"&amp;INDEX(Part_Categories!$C$2:$C$18,MATCH(D461,Part_Categories!$B$2:$B$18,0)),"CHECK")</f>
        <v>/carrier/06d/cylinder-liner</v>
      </c>
      <c r="Q461" s="19"/>
    </row>
    <row r="462" customFormat="false" ht="23.85" hidden="false" customHeight="false" outlineLevel="0" collapsed="false">
      <c r="A462" s="16" t="n">
        <f aca="false">ROW()-1</f>
        <v>461</v>
      </c>
      <c r="B462" s="17" t="s">
        <v>79</v>
      </c>
      <c r="C462" s="17" t="s">
        <v>132</v>
      </c>
      <c r="D462" s="17" t="s">
        <v>91</v>
      </c>
      <c r="E462" s="16" t="str">
        <f aca="false">IFERROR(INDEX(Lists!$B$2:$B$7,MATCH(B462,Lists!$A$2:$A$7,0))&amp;"-"&amp;INDEX(Series!$C$2:$C$30,MATCH(C462,Series!$B$2:$B$30,0))&amp;"-"&amp;INDEX(Part_Categories!$A$2:$A$18,MATCH(D462,Part_Categories!$B$2:$B$18,0))&amp;"-01","CHECK")</f>
        <v>CAR-06D-PST-01</v>
      </c>
      <c r="F462" s="16" t="str">
        <f aca="false">E462&amp;".jpg"</f>
        <v>CAR-06D-PST-01.jpg</v>
      </c>
      <c r="G462" s="18" t="str">
        <f aca="false">IFERROR(INDEX(Series!$F$2:$F$30,MATCH(C462,Series!$B$2:$B$30,0)),"")</f>
        <v>06D 48, 06D 68, 06D 75, 06D 018, 06D 024, 06D 037</v>
      </c>
      <c r="H462" s="19"/>
      <c r="I462" s="19"/>
      <c r="J462" s="19"/>
      <c r="K462" s="19" t="s">
        <v>70</v>
      </c>
      <c r="L462" s="19"/>
      <c r="M462" s="19"/>
      <c r="N462" s="19"/>
      <c r="O462" s="18" t="str">
        <f aca="false">C462&amp;" "&amp;D462&amp;" spare part - Efforts Engineers"</f>
        <v>Carrier 06D Series Piston Assembly spare part - Efforts Engineers</v>
      </c>
      <c r="P462" s="16" t="str">
        <f aca="false">IFERROR("/"&amp;LOWER(B462)&amp;"/"&amp;INDEX(Series!$D$2:$D$30,MATCH(C462,Series!$B$2:$B$30,0))&amp;"/"&amp;INDEX(Part_Categories!$C$2:$C$18,MATCH(D462,Part_Categories!$B$2:$B$18,0)),"CHECK")</f>
        <v>/carrier/06d/piston-assembly</v>
      </c>
      <c r="Q462" s="19"/>
    </row>
    <row r="463" customFormat="false" ht="23.85" hidden="false" customHeight="false" outlineLevel="0" collapsed="false">
      <c r="A463" s="16" t="n">
        <f aca="false">ROW()-1</f>
        <v>462</v>
      </c>
      <c r="B463" s="17" t="s">
        <v>79</v>
      </c>
      <c r="C463" s="17" t="s">
        <v>132</v>
      </c>
      <c r="D463" s="17" t="s">
        <v>92</v>
      </c>
      <c r="E463" s="16" t="str">
        <f aca="false">IFERROR(INDEX(Lists!$B$2:$B$7,MATCH(B463,Lists!$A$2:$A$7,0))&amp;"-"&amp;INDEX(Series!$C$2:$C$30,MATCH(C463,Series!$B$2:$B$30,0))&amp;"-"&amp;INDEX(Part_Categories!$A$2:$A$18,MATCH(D463,Part_Categories!$B$2:$B$18,0))&amp;"-01","CHECK")</f>
        <v>CAR-06D-PRG-01</v>
      </c>
      <c r="F463" s="16" t="str">
        <f aca="false">E463&amp;".jpg"</f>
        <v>CAR-06D-PRG-01.jpg</v>
      </c>
      <c r="G463" s="18" t="str">
        <f aca="false">IFERROR(INDEX(Series!$F$2:$F$30,MATCH(C463,Series!$B$2:$B$30,0)),"")</f>
        <v>06D 48, 06D 68, 06D 75, 06D 018, 06D 024, 06D 037</v>
      </c>
      <c r="H463" s="19"/>
      <c r="I463" s="19"/>
      <c r="J463" s="19"/>
      <c r="K463" s="19" t="s">
        <v>70</v>
      </c>
      <c r="L463" s="19"/>
      <c r="M463" s="19"/>
      <c r="N463" s="19"/>
      <c r="O463" s="18" t="str">
        <f aca="false">C463&amp;" "&amp;D463&amp;" spare part - Efforts Engineers"</f>
        <v>Carrier 06D Series Piston Ring Set spare part - Efforts Engineers</v>
      </c>
      <c r="P463" s="16" t="str">
        <f aca="false">IFERROR("/"&amp;LOWER(B463)&amp;"/"&amp;INDEX(Series!$D$2:$D$30,MATCH(C463,Series!$B$2:$B$30,0))&amp;"/"&amp;INDEX(Part_Categories!$C$2:$C$18,MATCH(D463,Part_Categories!$B$2:$B$18,0)),"CHECK")</f>
        <v>/carrier/06d/piston-ring-set</v>
      </c>
      <c r="Q463" s="19"/>
    </row>
    <row r="464" customFormat="false" ht="23.85" hidden="false" customHeight="false" outlineLevel="0" collapsed="false">
      <c r="A464" s="16" t="n">
        <f aca="false">ROW()-1</f>
        <v>463</v>
      </c>
      <c r="B464" s="17" t="s">
        <v>79</v>
      </c>
      <c r="C464" s="17" t="s">
        <v>132</v>
      </c>
      <c r="D464" s="17" t="s">
        <v>93</v>
      </c>
      <c r="E464" s="16" t="str">
        <f aca="false">IFERROR(INDEX(Lists!$B$2:$B$7,MATCH(B464,Lists!$A$2:$A$7,0))&amp;"-"&amp;INDEX(Series!$C$2:$C$30,MATCH(C464,Series!$B$2:$B$30,0))&amp;"-"&amp;INDEX(Part_Categories!$A$2:$A$18,MATCH(D464,Part_Categories!$B$2:$B$18,0))&amp;"-01","CHECK")</f>
        <v>CAR-06D-CRD-01</v>
      </c>
      <c r="F464" s="16" t="str">
        <f aca="false">E464&amp;".jpg"</f>
        <v>CAR-06D-CRD-01.jpg</v>
      </c>
      <c r="G464" s="18" t="str">
        <f aca="false">IFERROR(INDEX(Series!$F$2:$F$30,MATCH(C464,Series!$B$2:$B$30,0)),"")</f>
        <v>06D 48, 06D 68, 06D 75, 06D 018, 06D 024, 06D 037</v>
      </c>
      <c r="H464" s="19"/>
      <c r="I464" s="19"/>
      <c r="J464" s="19"/>
      <c r="K464" s="19" t="s">
        <v>70</v>
      </c>
      <c r="L464" s="19"/>
      <c r="M464" s="19"/>
      <c r="N464" s="19"/>
      <c r="O464" s="18" t="str">
        <f aca="false">C464&amp;" "&amp;D464&amp;" spare part - Efforts Engineers"</f>
        <v>Carrier 06D Series Connecting Rod spare part - Efforts Engineers</v>
      </c>
      <c r="P464" s="16" t="str">
        <f aca="false">IFERROR("/"&amp;LOWER(B464)&amp;"/"&amp;INDEX(Series!$D$2:$D$30,MATCH(C464,Series!$B$2:$B$30,0))&amp;"/"&amp;INDEX(Part_Categories!$C$2:$C$18,MATCH(D464,Part_Categories!$B$2:$B$18,0)),"CHECK")</f>
        <v>/carrier/06d/connecting-rod</v>
      </c>
      <c r="Q464" s="19"/>
    </row>
    <row r="465" customFormat="false" ht="23.85" hidden="false" customHeight="false" outlineLevel="0" collapsed="false">
      <c r="A465" s="16" t="n">
        <f aca="false">ROW()-1</f>
        <v>464</v>
      </c>
      <c r="B465" s="17" t="s">
        <v>79</v>
      </c>
      <c r="C465" s="17" t="s">
        <v>132</v>
      </c>
      <c r="D465" s="17" t="s">
        <v>94</v>
      </c>
      <c r="E465" s="16" t="str">
        <f aca="false">IFERROR(INDEX(Lists!$B$2:$B$7,MATCH(B465,Lists!$A$2:$A$7,0))&amp;"-"&amp;INDEX(Series!$C$2:$C$30,MATCH(C465,Series!$B$2:$B$30,0))&amp;"-"&amp;INDEX(Part_Categories!$A$2:$A$18,MATCH(D465,Part_Categories!$B$2:$B$18,0))&amp;"-01","CHECK")</f>
        <v>CAR-06D-CRK-01</v>
      </c>
      <c r="F465" s="16" t="str">
        <f aca="false">E465&amp;".jpg"</f>
        <v>CAR-06D-CRK-01.jpg</v>
      </c>
      <c r="G465" s="18" t="str">
        <f aca="false">IFERROR(INDEX(Series!$F$2:$F$30,MATCH(C465,Series!$B$2:$B$30,0)),"")</f>
        <v>06D 48, 06D 68, 06D 75, 06D 018, 06D 024, 06D 037</v>
      </c>
      <c r="H465" s="19"/>
      <c r="I465" s="19"/>
      <c r="J465" s="19"/>
      <c r="K465" s="19" t="s">
        <v>70</v>
      </c>
      <c r="L465" s="19"/>
      <c r="M465" s="19"/>
      <c r="N465" s="19"/>
      <c r="O465" s="18" t="str">
        <f aca="false">C465&amp;" "&amp;D465&amp;" spare part - Efforts Engineers"</f>
        <v>Carrier 06D Series Crankshaft spare part - Efforts Engineers</v>
      </c>
      <c r="P465" s="16" t="str">
        <f aca="false">IFERROR("/"&amp;LOWER(B465)&amp;"/"&amp;INDEX(Series!$D$2:$D$30,MATCH(C465,Series!$B$2:$B$30,0))&amp;"/"&amp;INDEX(Part_Categories!$C$2:$C$18,MATCH(D465,Part_Categories!$B$2:$B$18,0)),"CHECK")</f>
        <v>/carrier/06d/crankshaft</v>
      </c>
      <c r="Q465" s="19"/>
    </row>
    <row r="466" customFormat="false" ht="23.85" hidden="false" customHeight="false" outlineLevel="0" collapsed="false">
      <c r="A466" s="16" t="n">
        <f aca="false">ROW()-1</f>
        <v>465</v>
      </c>
      <c r="B466" s="17" t="s">
        <v>79</v>
      </c>
      <c r="C466" s="17" t="s">
        <v>132</v>
      </c>
      <c r="D466" s="17" t="s">
        <v>95</v>
      </c>
      <c r="E466" s="16" t="str">
        <f aca="false">IFERROR(INDEX(Lists!$B$2:$B$7,MATCH(B466,Lists!$A$2:$A$7,0))&amp;"-"&amp;INDEX(Series!$C$2:$C$30,MATCH(C466,Series!$B$2:$B$30,0))&amp;"-"&amp;INDEX(Part_Categories!$A$2:$A$18,MATCH(D466,Part_Categories!$B$2:$B$18,0))&amp;"-01","CHECK")</f>
        <v>CAR-06D-PIN-01</v>
      </c>
      <c r="F466" s="16" t="str">
        <f aca="false">E466&amp;".jpg"</f>
        <v>CAR-06D-PIN-01.jpg</v>
      </c>
      <c r="G466" s="18" t="str">
        <f aca="false">IFERROR(INDEX(Series!$F$2:$F$30,MATCH(C466,Series!$B$2:$B$30,0)),"")</f>
        <v>06D 48, 06D 68, 06D 75, 06D 018, 06D 024, 06D 037</v>
      </c>
      <c r="H466" s="19"/>
      <c r="I466" s="19"/>
      <c r="J466" s="19"/>
      <c r="K466" s="19" t="s">
        <v>70</v>
      </c>
      <c r="L466" s="19"/>
      <c r="M466" s="19"/>
      <c r="N466" s="19"/>
      <c r="O466" s="18" t="str">
        <f aca="false">C466&amp;" "&amp;D466&amp;" spare part - Efforts Engineers"</f>
        <v>Carrier 06D Series Gudgeon Pin and Bush spare part - Efforts Engineers</v>
      </c>
      <c r="P466" s="16" t="str">
        <f aca="false">IFERROR("/"&amp;LOWER(B466)&amp;"/"&amp;INDEX(Series!$D$2:$D$30,MATCH(C466,Series!$B$2:$B$30,0))&amp;"/"&amp;INDEX(Part_Categories!$C$2:$C$18,MATCH(D466,Part_Categories!$B$2:$B$18,0)),"CHECK")</f>
        <v>/carrier/06d/gudgeon-pin-and-bush</v>
      </c>
      <c r="Q466" s="19"/>
    </row>
    <row r="467" customFormat="false" ht="23.85" hidden="false" customHeight="false" outlineLevel="0" collapsed="false">
      <c r="A467" s="16" t="n">
        <f aca="false">ROW()-1</f>
        <v>466</v>
      </c>
      <c r="B467" s="17" t="s">
        <v>79</v>
      </c>
      <c r="C467" s="17" t="s">
        <v>132</v>
      </c>
      <c r="D467" s="17" t="s">
        <v>96</v>
      </c>
      <c r="E467" s="16" t="str">
        <f aca="false">IFERROR(INDEX(Lists!$B$2:$B$7,MATCH(B467,Lists!$A$2:$A$7,0))&amp;"-"&amp;INDEX(Series!$C$2:$C$30,MATCH(C467,Series!$B$2:$B$30,0))&amp;"-"&amp;INDEX(Part_Categories!$A$2:$A$18,MATCH(D467,Part_Categories!$B$2:$B$18,0))&amp;"-01","CHECK")</f>
        <v>CAR-06D-BRG-01</v>
      </c>
      <c r="F467" s="16" t="str">
        <f aca="false">E467&amp;".jpg"</f>
        <v>CAR-06D-BRG-01.jpg</v>
      </c>
      <c r="G467" s="18" t="str">
        <f aca="false">IFERROR(INDEX(Series!$F$2:$F$30,MATCH(C467,Series!$B$2:$B$30,0)),"")</f>
        <v>06D 48, 06D 68, 06D 75, 06D 018, 06D 024, 06D 037</v>
      </c>
      <c r="H467" s="19"/>
      <c r="I467" s="19"/>
      <c r="J467" s="19"/>
      <c r="K467" s="19" t="s">
        <v>70</v>
      </c>
      <c r="L467" s="19"/>
      <c r="M467" s="19"/>
      <c r="N467" s="19"/>
      <c r="O467" s="18" t="str">
        <f aca="false">C467&amp;" "&amp;D467&amp;" spare part - Efforts Engineers"</f>
        <v>Carrier 06D Series Main Bearing and Bush spare part - Efforts Engineers</v>
      </c>
      <c r="P467" s="16" t="str">
        <f aca="false">IFERROR("/"&amp;LOWER(B467)&amp;"/"&amp;INDEX(Series!$D$2:$D$30,MATCH(C467,Series!$B$2:$B$30,0))&amp;"/"&amp;INDEX(Part_Categories!$C$2:$C$18,MATCH(D467,Part_Categories!$B$2:$B$18,0)),"CHECK")</f>
        <v>/carrier/06d/main-bearing-and-bush</v>
      </c>
      <c r="Q467" s="19"/>
    </row>
    <row r="468" customFormat="false" ht="23.85" hidden="false" customHeight="false" outlineLevel="0" collapsed="false">
      <c r="A468" s="16" t="n">
        <f aca="false">ROW()-1</f>
        <v>467</v>
      </c>
      <c r="B468" s="17" t="s">
        <v>79</v>
      </c>
      <c r="C468" s="17" t="s">
        <v>132</v>
      </c>
      <c r="D468" s="17" t="s">
        <v>97</v>
      </c>
      <c r="E468" s="16" t="str">
        <f aca="false">IFERROR(INDEX(Lists!$B$2:$B$7,MATCH(B468,Lists!$A$2:$A$7,0))&amp;"-"&amp;INDEX(Series!$C$2:$C$30,MATCH(C468,Series!$B$2:$B$30,0))&amp;"-"&amp;INDEX(Part_Categories!$A$2:$A$18,MATCH(D468,Part_Categories!$B$2:$B$18,0))&amp;"-01","CHECK")</f>
        <v>CAR-06D-SVP-01</v>
      </c>
      <c r="F468" s="16" t="str">
        <f aca="false">E468&amp;".jpg"</f>
        <v>CAR-06D-SVP-01.jpg</v>
      </c>
      <c r="G468" s="18" t="str">
        <f aca="false">IFERROR(INDEX(Series!$F$2:$F$30,MATCH(C468,Series!$B$2:$B$30,0)),"")</f>
        <v>06D 48, 06D 68, 06D 75, 06D 018, 06D 024, 06D 037</v>
      </c>
      <c r="H468" s="19"/>
      <c r="I468" s="19"/>
      <c r="J468" s="19"/>
      <c r="K468" s="19" t="s">
        <v>70</v>
      </c>
      <c r="L468" s="19"/>
      <c r="M468" s="19"/>
      <c r="N468" s="19"/>
      <c r="O468" s="18" t="str">
        <f aca="false">C468&amp;" "&amp;D468&amp;" spare part - Efforts Engineers"</f>
        <v>Carrier 06D Series Suction Valve Plate spare part - Efforts Engineers</v>
      </c>
      <c r="P468" s="16" t="str">
        <f aca="false">IFERROR("/"&amp;LOWER(B468)&amp;"/"&amp;INDEX(Series!$D$2:$D$30,MATCH(C468,Series!$B$2:$B$30,0))&amp;"/"&amp;INDEX(Part_Categories!$C$2:$C$18,MATCH(D468,Part_Categories!$B$2:$B$18,0)),"CHECK")</f>
        <v>/carrier/06d/suction-valve-plate</v>
      </c>
      <c r="Q468" s="19"/>
    </row>
    <row r="469" customFormat="false" ht="23.85" hidden="false" customHeight="false" outlineLevel="0" collapsed="false">
      <c r="A469" s="16" t="n">
        <f aca="false">ROW()-1</f>
        <v>468</v>
      </c>
      <c r="B469" s="17" t="s">
        <v>79</v>
      </c>
      <c r="C469" s="17" t="s">
        <v>132</v>
      </c>
      <c r="D469" s="17" t="s">
        <v>98</v>
      </c>
      <c r="E469" s="16" t="str">
        <f aca="false">IFERROR(INDEX(Lists!$B$2:$B$7,MATCH(B469,Lists!$A$2:$A$7,0))&amp;"-"&amp;INDEX(Series!$C$2:$C$30,MATCH(C469,Series!$B$2:$B$30,0))&amp;"-"&amp;INDEX(Part_Categories!$A$2:$A$18,MATCH(D469,Part_Categories!$B$2:$B$18,0))&amp;"-01","CHECK")</f>
        <v>CAR-06D-DVA-01</v>
      </c>
      <c r="F469" s="16" t="str">
        <f aca="false">E469&amp;".jpg"</f>
        <v>CAR-06D-DVA-01.jpg</v>
      </c>
      <c r="G469" s="18" t="str">
        <f aca="false">IFERROR(INDEX(Series!$F$2:$F$30,MATCH(C469,Series!$B$2:$B$30,0)),"")</f>
        <v>06D 48, 06D 68, 06D 75, 06D 018, 06D 024, 06D 037</v>
      </c>
      <c r="H469" s="19"/>
      <c r="I469" s="19"/>
      <c r="J469" s="19"/>
      <c r="K469" s="19" t="s">
        <v>70</v>
      </c>
      <c r="L469" s="19"/>
      <c r="M469" s="19"/>
      <c r="N469" s="19"/>
      <c r="O469" s="18" t="str">
        <f aca="false">C469&amp;" "&amp;D469&amp;" spare part - Efforts Engineers"</f>
        <v>Carrier 06D Series Discharge Valve Assembly spare part - Efforts Engineers</v>
      </c>
      <c r="P469" s="16" t="str">
        <f aca="false">IFERROR("/"&amp;LOWER(B469)&amp;"/"&amp;INDEX(Series!$D$2:$D$30,MATCH(C469,Series!$B$2:$B$30,0))&amp;"/"&amp;INDEX(Part_Categories!$C$2:$C$18,MATCH(D469,Part_Categories!$B$2:$B$18,0)),"CHECK")</f>
        <v>/carrier/06d/discharge-valve-assembly</v>
      </c>
      <c r="Q469" s="19"/>
    </row>
    <row r="470" customFormat="false" ht="23.85" hidden="false" customHeight="false" outlineLevel="0" collapsed="false">
      <c r="A470" s="16" t="n">
        <f aca="false">ROW()-1</f>
        <v>469</v>
      </c>
      <c r="B470" s="17" t="s">
        <v>79</v>
      </c>
      <c r="C470" s="17" t="s">
        <v>132</v>
      </c>
      <c r="D470" s="17" t="s">
        <v>99</v>
      </c>
      <c r="E470" s="16" t="str">
        <f aca="false">IFERROR(INDEX(Lists!$B$2:$B$7,MATCH(B470,Lists!$A$2:$A$7,0))&amp;"-"&amp;INDEX(Series!$C$2:$C$30,MATCH(C470,Series!$B$2:$B$30,0))&amp;"-"&amp;INDEX(Part_Categories!$A$2:$A$18,MATCH(D470,Part_Categories!$B$2:$B$18,0))&amp;"-01","CHECK")</f>
        <v>CAR-06D-VSP-01</v>
      </c>
      <c r="F470" s="16" t="str">
        <f aca="false">E470&amp;".jpg"</f>
        <v>CAR-06D-VSP-01.jpg</v>
      </c>
      <c r="G470" s="18" t="str">
        <f aca="false">IFERROR(INDEX(Series!$F$2:$F$30,MATCH(C470,Series!$B$2:$B$30,0)),"")</f>
        <v>06D 48, 06D 68, 06D 75, 06D 018, 06D 024, 06D 037</v>
      </c>
      <c r="H470" s="19"/>
      <c r="I470" s="19"/>
      <c r="J470" s="19"/>
      <c r="K470" s="19" t="s">
        <v>70</v>
      </c>
      <c r="L470" s="19"/>
      <c r="M470" s="19"/>
      <c r="N470" s="19"/>
      <c r="O470" s="18" t="str">
        <f aca="false">C470&amp;" "&amp;D470&amp;" spare part - Efforts Engineers"</f>
        <v>Carrier 06D Series Valve Spring and Cage spare part - Efforts Engineers</v>
      </c>
      <c r="P470" s="16" t="str">
        <f aca="false">IFERROR("/"&amp;LOWER(B470)&amp;"/"&amp;INDEX(Series!$D$2:$D$30,MATCH(C470,Series!$B$2:$B$30,0))&amp;"/"&amp;INDEX(Part_Categories!$C$2:$C$18,MATCH(D470,Part_Categories!$B$2:$B$18,0)),"CHECK")</f>
        <v>/carrier/06d/valve-spring-and-cage</v>
      </c>
      <c r="Q470" s="19"/>
    </row>
    <row r="471" customFormat="false" ht="23.85" hidden="false" customHeight="false" outlineLevel="0" collapsed="false">
      <c r="A471" s="16" t="n">
        <f aca="false">ROW()-1</f>
        <v>470</v>
      </c>
      <c r="B471" s="17" t="s">
        <v>79</v>
      </c>
      <c r="C471" s="17" t="s">
        <v>132</v>
      </c>
      <c r="D471" s="17" t="s">
        <v>100</v>
      </c>
      <c r="E471" s="16" t="str">
        <f aca="false">IFERROR(INDEX(Lists!$B$2:$B$7,MATCH(B471,Lists!$A$2:$A$7,0))&amp;"-"&amp;INDEX(Series!$C$2:$C$30,MATCH(C471,Series!$B$2:$B$30,0))&amp;"-"&amp;INDEX(Part_Categories!$A$2:$A$18,MATCH(D471,Part_Categories!$B$2:$B$18,0))&amp;"-01","CHECK")</f>
        <v>CAR-06D-HDC-01</v>
      </c>
      <c r="F471" s="16" t="str">
        <f aca="false">E471&amp;".jpg"</f>
        <v>CAR-06D-HDC-01.jpg</v>
      </c>
      <c r="G471" s="18" t="str">
        <f aca="false">IFERROR(INDEX(Series!$F$2:$F$30,MATCH(C471,Series!$B$2:$B$30,0)),"")</f>
        <v>06D 48, 06D 68, 06D 75, 06D 018, 06D 024, 06D 037</v>
      </c>
      <c r="H471" s="19"/>
      <c r="I471" s="19"/>
      <c r="J471" s="19"/>
      <c r="K471" s="19" t="s">
        <v>70</v>
      </c>
      <c r="L471" s="19"/>
      <c r="M471" s="19"/>
      <c r="N471" s="19"/>
      <c r="O471" s="18" t="str">
        <f aca="false">C471&amp;" "&amp;D471&amp;" spare part - Efforts Engineers"</f>
        <v>Carrier 06D Series Cylinder Head Cover spare part - Efforts Engineers</v>
      </c>
      <c r="P471" s="16" t="str">
        <f aca="false">IFERROR("/"&amp;LOWER(B471)&amp;"/"&amp;INDEX(Series!$D$2:$D$30,MATCH(C471,Series!$B$2:$B$30,0))&amp;"/"&amp;INDEX(Part_Categories!$C$2:$C$18,MATCH(D471,Part_Categories!$B$2:$B$18,0)),"CHECK")</f>
        <v>/carrier/06d/cylinder-head-cover</v>
      </c>
      <c r="Q471" s="19"/>
    </row>
    <row r="472" customFormat="false" ht="23.85" hidden="false" customHeight="false" outlineLevel="0" collapsed="false">
      <c r="A472" s="16" t="n">
        <f aca="false">ROW()-1</f>
        <v>471</v>
      </c>
      <c r="B472" s="17" t="s">
        <v>79</v>
      </c>
      <c r="C472" s="17" t="s">
        <v>132</v>
      </c>
      <c r="D472" s="17" t="s">
        <v>101</v>
      </c>
      <c r="E472" s="16" t="str">
        <f aca="false">IFERROR(INDEX(Lists!$B$2:$B$7,MATCH(B472,Lists!$A$2:$A$7,0))&amp;"-"&amp;INDEX(Series!$C$2:$C$30,MATCH(C472,Series!$B$2:$B$30,0))&amp;"-"&amp;INDEX(Part_Categories!$A$2:$A$18,MATCH(D472,Part_Categories!$B$2:$B$18,0))&amp;"-01","CHECK")</f>
        <v>CAR-06D-GSK-01</v>
      </c>
      <c r="F472" s="16" t="str">
        <f aca="false">E472&amp;".jpg"</f>
        <v>CAR-06D-GSK-01.jpg</v>
      </c>
      <c r="G472" s="18" t="str">
        <f aca="false">IFERROR(INDEX(Series!$F$2:$F$30,MATCH(C472,Series!$B$2:$B$30,0)),"")</f>
        <v>06D 48, 06D 68, 06D 75, 06D 018, 06D 024, 06D 037</v>
      </c>
      <c r="H472" s="19"/>
      <c r="I472" s="19"/>
      <c r="J472" s="19"/>
      <c r="K472" s="19" t="s">
        <v>70</v>
      </c>
      <c r="L472" s="19"/>
      <c r="M472" s="19"/>
      <c r="N472" s="19"/>
      <c r="O472" s="18" t="str">
        <f aca="false">C472&amp;" "&amp;D472&amp;" spare part - Efforts Engineers"</f>
        <v>Carrier 06D Series Gasket and Overhaul Kit spare part - Efforts Engineers</v>
      </c>
      <c r="P472" s="16" t="str">
        <f aca="false">IFERROR("/"&amp;LOWER(B472)&amp;"/"&amp;INDEX(Series!$D$2:$D$30,MATCH(C472,Series!$B$2:$B$30,0))&amp;"/"&amp;INDEX(Part_Categories!$C$2:$C$18,MATCH(D472,Part_Categories!$B$2:$B$18,0)),"CHECK")</f>
        <v>/carrier/06d/gasket-and-overhaul-kit</v>
      </c>
      <c r="Q472" s="19"/>
    </row>
    <row r="473" customFormat="false" ht="23.85" hidden="false" customHeight="false" outlineLevel="0" collapsed="false">
      <c r="A473" s="16" t="n">
        <f aca="false">ROW()-1</f>
        <v>472</v>
      </c>
      <c r="B473" s="17" t="s">
        <v>79</v>
      </c>
      <c r="C473" s="17" t="s">
        <v>132</v>
      </c>
      <c r="D473" s="17" t="s">
        <v>102</v>
      </c>
      <c r="E473" s="16" t="str">
        <f aca="false">IFERROR(INDEX(Lists!$B$2:$B$7,MATCH(B473,Lists!$A$2:$A$7,0))&amp;"-"&amp;INDEX(Series!$C$2:$C$30,MATCH(C473,Series!$B$2:$B$30,0))&amp;"-"&amp;INDEX(Part_Categories!$A$2:$A$18,MATCH(D473,Part_Categories!$B$2:$B$18,0))&amp;"-01","CHECK")</f>
        <v>CAR-06D-OPA-01</v>
      </c>
      <c r="F473" s="16" t="str">
        <f aca="false">E473&amp;".jpg"</f>
        <v>CAR-06D-OPA-01.jpg</v>
      </c>
      <c r="G473" s="18" t="str">
        <f aca="false">IFERROR(INDEX(Series!$F$2:$F$30,MATCH(C473,Series!$B$2:$B$30,0)),"")</f>
        <v>06D 48, 06D 68, 06D 75, 06D 018, 06D 024, 06D 037</v>
      </c>
      <c r="H473" s="19"/>
      <c r="I473" s="19"/>
      <c r="J473" s="19"/>
      <c r="K473" s="19" t="s">
        <v>70</v>
      </c>
      <c r="L473" s="19"/>
      <c r="M473" s="19"/>
      <c r="N473" s="19"/>
      <c r="O473" s="18" t="str">
        <f aca="false">C473&amp;" "&amp;D473&amp;" spare part - Efforts Engineers"</f>
        <v>Carrier 06D Series Oil Pump Assembly spare part - Efforts Engineers</v>
      </c>
      <c r="P473" s="16" t="str">
        <f aca="false">IFERROR("/"&amp;LOWER(B473)&amp;"/"&amp;INDEX(Series!$D$2:$D$30,MATCH(C473,Series!$B$2:$B$30,0))&amp;"/"&amp;INDEX(Part_Categories!$C$2:$C$18,MATCH(D473,Part_Categories!$B$2:$B$18,0)),"CHECK")</f>
        <v>/carrier/06d/oil-pump-assembly</v>
      </c>
      <c r="Q473" s="19"/>
    </row>
    <row r="474" customFormat="false" ht="23.85" hidden="false" customHeight="false" outlineLevel="0" collapsed="false">
      <c r="A474" s="16" t="n">
        <f aca="false">ROW()-1</f>
        <v>473</v>
      </c>
      <c r="B474" s="17" t="s">
        <v>79</v>
      </c>
      <c r="C474" s="17" t="s">
        <v>132</v>
      </c>
      <c r="D474" s="17" t="s">
        <v>103</v>
      </c>
      <c r="E474" s="16" t="str">
        <f aca="false">IFERROR(INDEX(Lists!$B$2:$B$7,MATCH(B474,Lists!$A$2:$A$7,0))&amp;"-"&amp;INDEX(Series!$C$2:$C$30,MATCH(C474,Series!$B$2:$B$30,0))&amp;"-"&amp;INDEX(Part_Categories!$A$2:$A$18,MATCH(D474,Part_Categories!$B$2:$B$18,0))&amp;"-01","CHECK")</f>
        <v>CAR-06D-SHS-01</v>
      </c>
      <c r="F474" s="16" t="str">
        <f aca="false">E474&amp;".jpg"</f>
        <v>CAR-06D-SHS-01.jpg</v>
      </c>
      <c r="G474" s="18" t="str">
        <f aca="false">IFERROR(INDEX(Series!$F$2:$F$30,MATCH(C474,Series!$B$2:$B$30,0)),"")</f>
        <v>06D 48, 06D 68, 06D 75, 06D 018, 06D 024, 06D 037</v>
      </c>
      <c r="H474" s="19"/>
      <c r="I474" s="19"/>
      <c r="J474" s="19"/>
      <c r="K474" s="19" t="s">
        <v>70</v>
      </c>
      <c r="L474" s="19"/>
      <c r="M474" s="19"/>
      <c r="N474" s="19"/>
      <c r="O474" s="18" t="str">
        <f aca="false">C474&amp;" "&amp;D474&amp;" spare part - Efforts Engineers"</f>
        <v>Carrier 06D Series Shaft Seal spare part - Efforts Engineers</v>
      </c>
      <c r="P474" s="16" t="str">
        <f aca="false">IFERROR("/"&amp;LOWER(B474)&amp;"/"&amp;INDEX(Series!$D$2:$D$30,MATCH(C474,Series!$B$2:$B$30,0))&amp;"/"&amp;INDEX(Part_Categories!$C$2:$C$18,MATCH(D474,Part_Categories!$B$2:$B$18,0)),"CHECK")</f>
        <v>/carrier/06d/shaft-seal</v>
      </c>
      <c r="Q474" s="19"/>
    </row>
    <row r="475" customFormat="false" ht="23.85" hidden="false" customHeight="false" outlineLevel="0" collapsed="false">
      <c r="A475" s="16" t="n">
        <f aca="false">ROW()-1</f>
        <v>474</v>
      </c>
      <c r="B475" s="17" t="s">
        <v>79</v>
      </c>
      <c r="C475" s="17" t="s">
        <v>132</v>
      </c>
      <c r="D475" s="17" t="s">
        <v>104</v>
      </c>
      <c r="E475" s="16" t="str">
        <f aca="false">IFERROR(INDEX(Lists!$B$2:$B$7,MATCH(B475,Lists!$A$2:$A$7,0))&amp;"-"&amp;INDEX(Series!$C$2:$C$30,MATCH(C475,Series!$B$2:$B$30,0))&amp;"-"&amp;INDEX(Part_Categories!$A$2:$A$18,MATCH(D475,Part_Categories!$B$2:$B$18,0))&amp;"-01","CHECK")</f>
        <v>CAR-06D-FLT-01</v>
      </c>
      <c r="F475" s="16" t="str">
        <f aca="false">E475&amp;".jpg"</f>
        <v>CAR-06D-FLT-01.jpg</v>
      </c>
      <c r="G475" s="18" t="str">
        <f aca="false">IFERROR(INDEX(Series!$F$2:$F$30,MATCH(C475,Series!$B$2:$B$30,0)),"")</f>
        <v>06D 48, 06D 68, 06D 75, 06D 018, 06D 024, 06D 037</v>
      </c>
      <c r="H475" s="19"/>
      <c r="I475" s="19"/>
      <c r="J475" s="19"/>
      <c r="K475" s="19" t="s">
        <v>70</v>
      </c>
      <c r="L475" s="19"/>
      <c r="M475" s="19"/>
      <c r="N475" s="19"/>
      <c r="O475" s="18" t="str">
        <f aca="false">C475&amp;" "&amp;D475&amp;" spare part - Efforts Engineers"</f>
        <v>Carrier 06D Series Oil Filter and Strainer spare part - Efforts Engineers</v>
      </c>
      <c r="P475" s="16" t="str">
        <f aca="false">IFERROR("/"&amp;LOWER(B475)&amp;"/"&amp;INDEX(Series!$D$2:$D$30,MATCH(C475,Series!$B$2:$B$30,0))&amp;"/"&amp;INDEX(Part_Categories!$C$2:$C$18,MATCH(D475,Part_Categories!$B$2:$B$18,0)),"CHECK")</f>
        <v>/carrier/06d/oil-filter-and-strainer</v>
      </c>
      <c r="Q475" s="19"/>
    </row>
    <row r="476" customFormat="false" ht="23.85" hidden="false" customHeight="false" outlineLevel="0" collapsed="false">
      <c r="A476" s="16" t="n">
        <f aca="false">ROW()-1</f>
        <v>475</v>
      </c>
      <c r="B476" s="17" t="s">
        <v>79</v>
      </c>
      <c r="C476" s="17" t="s">
        <v>132</v>
      </c>
      <c r="D476" s="17" t="s">
        <v>105</v>
      </c>
      <c r="E476" s="16" t="str">
        <f aca="false">IFERROR(INDEX(Lists!$B$2:$B$7,MATCH(B476,Lists!$A$2:$A$7,0))&amp;"-"&amp;INDEX(Series!$C$2:$C$30,MATCH(C476,Series!$B$2:$B$30,0))&amp;"-"&amp;INDEX(Part_Categories!$A$2:$A$18,MATCH(D476,Part_Categories!$B$2:$B$18,0))&amp;"-01","CHECK")</f>
        <v>CAR-06D-ULD-01</v>
      </c>
      <c r="F476" s="16" t="str">
        <f aca="false">E476&amp;".jpg"</f>
        <v>CAR-06D-ULD-01.jpg</v>
      </c>
      <c r="G476" s="18" t="str">
        <f aca="false">IFERROR(INDEX(Series!$F$2:$F$30,MATCH(C476,Series!$B$2:$B$30,0)),"")</f>
        <v>06D 48, 06D 68, 06D 75, 06D 018, 06D 024, 06D 037</v>
      </c>
      <c r="H476" s="19"/>
      <c r="I476" s="19"/>
      <c r="J476" s="19"/>
      <c r="K476" s="19" t="s">
        <v>70</v>
      </c>
      <c r="L476" s="19"/>
      <c r="M476" s="19"/>
      <c r="N476" s="19"/>
      <c r="O476" s="18" t="str">
        <f aca="false">C476&amp;" "&amp;D476&amp;" spare part - Efforts Engineers"</f>
        <v>Carrier 06D Series Unloader and Capacity Control spare part - Efforts Engineers</v>
      </c>
      <c r="P476" s="16" t="str">
        <f aca="false">IFERROR("/"&amp;LOWER(B476)&amp;"/"&amp;INDEX(Series!$D$2:$D$30,MATCH(C476,Series!$B$2:$B$30,0))&amp;"/"&amp;INDEX(Part_Categories!$C$2:$C$18,MATCH(D476,Part_Categories!$B$2:$B$18,0)),"CHECK")</f>
        <v>/carrier/06d/unloader-and-capacity-control</v>
      </c>
      <c r="Q476" s="19"/>
    </row>
    <row r="477" customFormat="false" ht="23.85" hidden="false" customHeight="false" outlineLevel="0" collapsed="false">
      <c r="A477" s="16" t="n">
        <f aca="false">ROW()-1</f>
        <v>476</v>
      </c>
      <c r="B477" s="17" t="s">
        <v>79</v>
      </c>
      <c r="C477" s="17" t="s">
        <v>132</v>
      </c>
      <c r="D477" s="17" t="s">
        <v>106</v>
      </c>
      <c r="E477" s="16" t="str">
        <f aca="false">IFERROR(INDEX(Lists!$B$2:$B$7,MATCH(B477,Lists!$A$2:$A$7,0))&amp;"-"&amp;INDEX(Series!$C$2:$C$30,MATCH(C477,Series!$B$2:$B$30,0))&amp;"-"&amp;INDEX(Part_Categories!$A$2:$A$18,MATCH(D477,Part_Categories!$B$2:$B$18,0))&amp;"-01","CHECK")</f>
        <v>CAR-06D-SAF-01</v>
      </c>
      <c r="F477" s="16" t="str">
        <f aca="false">E477&amp;".jpg"</f>
        <v>CAR-06D-SAF-01.jpg</v>
      </c>
      <c r="G477" s="18" t="str">
        <f aca="false">IFERROR(INDEX(Series!$F$2:$F$30,MATCH(C477,Series!$B$2:$B$30,0)),"")</f>
        <v>06D 48, 06D 68, 06D 75, 06D 018, 06D 024, 06D 037</v>
      </c>
      <c r="H477" s="19"/>
      <c r="I477" s="19"/>
      <c r="J477" s="19"/>
      <c r="K477" s="19" t="s">
        <v>70</v>
      </c>
      <c r="L477" s="19"/>
      <c r="M477" s="19"/>
      <c r="N477" s="19"/>
      <c r="O477" s="18" t="str">
        <f aca="false">C477&amp;" "&amp;D477&amp;" spare part - Efforts Engineers"</f>
        <v>Carrier 06D Series Safety Head and Relief Valve spare part - Efforts Engineers</v>
      </c>
      <c r="P477" s="16" t="str">
        <f aca="false">IFERROR("/"&amp;LOWER(B477)&amp;"/"&amp;INDEX(Series!$D$2:$D$30,MATCH(C477,Series!$B$2:$B$30,0))&amp;"/"&amp;INDEX(Part_Categories!$C$2:$C$18,MATCH(D477,Part_Categories!$B$2:$B$18,0)),"CHECK")</f>
        <v>/carrier/06d/safety-head-and-relief-valve</v>
      </c>
      <c r="Q477" s="19"/>
    </row>
    <row r="478" customFormat="false" ht="23.85" hidden="false" customHeight="false" outlineLevel="0" collapsed="false">
      <c r="A478" s="16" t="n">
        <f aca="false">ROW()-1</f>
        <v>477</v>
      </c>
      <c r="B478" s="17" t="s">
        <v>79</v>
      </c>
      <c r="C478" s="17" t="s">
        <v>133</v>
      </c>
      <c r="D478" s="17" t="s">
        <v>58</v>
      </c>
      <c r="E478" s="16" t="str">
        <f aca="false">IFERROR(INDEX(Lists!$B$2:$B$7,MATCH(B478,Lists!$A$2:$A$7,0))&amp;"-"&amp;INDEX(Series!$C$2:$C$30,MATCH(C478,Series!$B$2:$B$30,0))&amp;"-"&amp;INDEX(Part_Categories!$A$2:$A$18,MATCH(D478,Part_Categories!$B$2:$B$18,0))&amp;"-01","CHECK")</f>
        <v>CAR-06E-CLN-01</v>
      </c>
      <c r="F478" s="16" t="str">
        <f aca="false">E478&amp;".jpg"</f>
        <v>CAR-06E-CLN-01.jpg</v>
      </c>
      <c r="G478" s="18" t="str">
        <f aca="false">IFERROR(INDEX(Series!$F$2:$F$30,MATCH(C478,Series!$B$2:$B$30,0)),"")</f>
        <v>06E (sizes to add)</v>
      </c>
      <c r="H478" s="19"/>
      <c r="I478" s="19"/>
      <c r="J478" s="19"/>
      <c r="K478" s="19" t="s">
        <v>70</v>
      </c>
      <c r="L478" s="19"/>
      <c r="M478" s="19"/>
      <c r="N478" s="19"/>
      <c r="O478" s="18" t="str">
        <f aca="false">C478&amp;" "&amp;D478&amp;" spare part - Efforts Engineers"</f>
        <v>Carrier 06E Series Cylinder Liner spare part - Efforts Engineers</v>
      </c>
      <c r="P478" s="16" t="str">
        <f aca="false">IFERROR("/"&amp;LOWER(B478)&amp;"/"&amp;INDEX(Series!$D$2:$D$30,MATCH(C478,Series!$B$2:$B$30,0))&amp;"/"&amp;INDEX(Part_Categories!$C$2:$C$18,MATCH(D478,Part_Categories!$B$2:$B$18,0)),"CHECK")</f>
        <v>/carrier/06e/cylinder-liner</v>
      </c>
      <c r="Q478" s="19"/>
    </row>
    <row r="479" customFormat="false" ht="23.85" hidden="false" customHeight="false" outlineLevel="0" collapsed="false">
      <c r="A479" s="16" t="n">
        <f aca="false">ROW()-1</f>
        <v>478</v>
      </c>
      <c r="B479" s="17" t="s">
        <v>79</v>
      </c>
      <c r="C479" s="17" t="s">
        <v>133</v>
      </c>
      <c r="D479" s="17" t="s">
        <v>91</v>
      </c>
      <c r="E479" s="16" t="str">
        <f aca="false">IFERROR(INDEX(Lists!$B$2:$B$7,MATCH(B479,Lists!$A$2:$A$7,0))&amp;"-"&amp;INDEX(Series!$C$2:$C$30,MATCH(C479,Series!$B$2:$B$30,0))&amp;"-"&amp;INDEX(Part_Categories!$A$2:$A$18,MATCH(D479,Part_Categories!$B$2:$B$18,0))&amp;"-01","CHECK")</f>
        <v>CAR-06E-PST-01</v>
      </c>
      <c r="F479" s="16" t="str">
        <f aca="false">E479&amp;".jpg"</f>
        <v>CAR-06E-PST-01.jpg</v>
      </c>
      <c r="G479" s="18" t="str">
        <f aca="false">IFERROR(INDEX(Series!$F$2:$F$30,MATCH(C479,Series!$B$2:$B$30,0)),"")</f>
        <v>06E (sizes to add)</v>
      </c>
      <c r="H479" s="19"/>
      <c r="I479" s="19"/>
      <c r="J479" s="19"/>
      <c r="K479" s="19" t="s">
        <v>70</v>
      </c>
      <c r="L479" s="19"/>
      <c r="M479" s="19"/>
      <c r="N479" s="19"/>
      <c r="O479" s="18" t="str">
        <f aca="false">C479&amp;" "&amp;D479&amp;" spare part - Efforts Engineers"</f>
        <v>Carrier 06E Series Piston Assembly spare part - Efforts Engineers</v>
      </c>
      <c r="P479" s="16" t="str">
        <f aca="false">IFERROR("/"&amp;LOWER(B479)&amp;"/"&amp;INDEX(Series!$D$2:$D$30,MATCH(C479,Series!$B$2:$B$30,0))&amp;"/"&amp;INDEX(Part_Categories!$C$2:$C$18,MATCH(D479,Part_Categories!$B$2:$B$18,0)),"CHECK")</f>
        <v>/carrier/06e/piston-assembly</v>
      </c>
      <c r="Q479" s="19"/>
    </row>
    <row r="480" customFormat="false" ht="23.85" hidden="false" customHeight="false" outlineLevel="0" collapsed="false">
      <c r="A480" s="16" t="n">
        <f aca="false">ROW()-1</f>
        <v>479</v>
      </c>
      <c r="B480" s="17" t="s">
        <v>79</v>
      </c>
      <c r="C480" s="17" t="s">
        <v>133</v>
      </c>
      <c r="D480" s="17" t="s">
        <v>92</v>
      </c>
      <c r="E480" s="16" t="str">
        <f aca="false">IFERROR(INDEX(Lists!$B$2:$B$7,MATCH(B480,Lists!$A$2:$A$7,0))&amp;"-"&amp;INDEX(Series!$C$2:$C$30,MATCH(C480,Series!$B$2:$B$30,0))&amp;"-"&amp;INDEX(Part_Categories!$A$2:$A$18,MATCH(D480,Part_Categories!$B$2:$B$18,0))&amp;"-01","CHECK")</f>
        <v>CAR-06E-PRG-01</v>
      </c>
      <c r="F480" s="16" t="str">
        <f aca="false">E480&amp;".jpg"</f>
        <v>CAR-06E-PRG-01.jpg</v>
      </c>
      <c r="G480" s="18" t="str">
        <f aca="false">IFERROR(INDEX(Series!$F$2:$F$30,MATCH(C480,Series!$B$2:$B$30,0)),"")</f>
        <v>06E (sizes to add)</v>
      </c>
      <c r="H480" s="19"/>
      <c r="I480" s="19"/>
      <c r="J480" s="19"/>
      <c r="K480" s="19" t="s">
        <v>70</v>
      </c>
      <c r="L480" s="19"/>
      <c r="M480" s="19"/>
      <c r="N480" s="19"/>
      <c r="O480" s="18" t="str">
        <f aca="false">C480&amp;" "&amp;D480&amp;" spare part - Efforts Engineers"</f>
        <v>Carrier 06E Series Piston Ring Set spare part - Efforts Engineers</v>
      </c>
      <c r="P480" s="16" t="str">
        <f aca="false">IFERROR("/"&amp;LOWER(B480)&amp;"/"&amp;INDEX(Series!$D$2:$D$30,MATCH(C480,Series!$B$2:$B$30,0))&amp;"/"&amp;INDEX(Part_Categories!$C$2:$C$18,MATCH(D480,Part_Categories!$B$2:$B$18,0)),"CHECK")</f>
        <v>/carrier/06e/piston-ring-set</v>
      </c>
      <c r="Q480" s="19"/>
    </row>
    <row r="481" customFormat="false" ht="23.85" hidden="false" customHeight="false" outlineLevel="0" collapsed="false">
      <c r="A481" s="16" t="n">
        <f aca="false">ROW()-1</f>
        <v>480</v>
      </c>
      <c r="B481" s="17" t="s">
        <v>79</v>
      </c>
      <c r="C481" s="17" t="s">
        <v>133</v>
      </c>
      <c r="D481" s="17" t="s">
        <v>93</v>
      </c>
      <c r="E481" s="16" t="str">
        <f aca="false">IFERROR(INDEX(Lists!$B$2:$B$7,MATCH(B481,Lists!$A$2:$A$7,0))&amp;"-"&amp;INDEX(Series!$C$2:$C$30,MATCH(C481,Series!$B$2:$B$30,0))&amp;"-"&amp;INDEX(Part_Categories!$A$2:$A$18,MATCH(D481,Part_Categories!$B$2:$B$18,0))&amp;"-01","CHECK")</f>
        <v>CAR-06E-CRD-01</v>
      </c>
      <c r="F481" s="16" t="str">
        <f aca="false">E481&amp;".jpg"</f>
        <v>CAR-06E-CRD-01.jpg</v>
      </c>
      <c r="G481" s="18" t="str">
        <f aca="false">IFERROR(INDEX(Series!$F$2:$F$30,MATCH(C481,Series!$B$2:$B$30,0)),"")</f>
        <v>06E (sizes to add)</v>
      </c>
      <c r="H481" s="19"/>
      <c r="I481" s="19"/>
      <c r="J481" s="19"/>
      <c r="K481" s="19" t="s">
        <v>70</v>
      </c>
      <c r="L481" s="19"/>
      <c r="M481" s="19"/>
      <c r="N481" s="19"/>
      <c r="O481" s="18" t="str">
        <f aca="false">C481&amp;" "&amp;D481&amp;" spare part - Efforts Engineers"</f>
        <v>Carrier 06E Series Connecting Rod spare part - Efforts Engineers</v>
      </c>
      <c r="P481" s="16" t="str">
        <f aca="false">IFERROR("/"&amp;LOWER(B481)&amp;"/"&amp;INDEX(Series!$D$2:$D$30,MATCH(C481,Series!$B$2:$B$30,0))&amp;"/"&amp;INDEX(Part_Categories!$C$2:$C$18,MATCH(D481,Part_Categories!$B$2:$B$18,0)),"CHECK")</f>
        <v>/carrier/06e/connecting-rod</v>
      </c>
      <c r="Q481" s="19"/>
    </row>
    <row r="482" customFormat="false" ht="23.85" hidden="false" customHeight="false" outlineLevel="0" collapsed="false">
      <c r="A482" s="16" t="n">
        <f aca="false">ROW()-1</f>
        <v>481</v>
      </c>
      <c r="B482" s="17" t="s">
        <v>79</v>
      </c>
      <c r="C482" s="17" t="s">
        <v>133</v>
      </c>
      <c r="D482" s="17" t="s">
        <v>94</v>
      </c>
      <c r="E482" s="16" t="str">
        <f aca="false">IFERROR(INDEX(Lists!$B$2:$B$7,MATCH(B482,Lists!$A$2:$A$7,0))&amp;"-"&amp;INDEX(Series!$C$2:$C$30,MATCH(C482,Series!$B$2:$B$30,0))&amp;"-"&amp;INDEX(Part_Categories!$A$2:$A$18,MATCH(D482,Part_Categories!$B$2:$B$18,0))&amp;"-01","CHECK")</f>
        <v>CAR-06E-CRK-01</v>
      </c>
      <c r="F482" s="16" t="str">
        <f aca="false">E482&amp;".jpg"</f>
        <v>CAR-06E-CRK-01.jpg</v>
      </c>
      <c r="G482" s="18" t="str">
        <f aca="false">IFERROR(INDEX(Series!$F$2:$F$30,MATCH(C482,Series!$B$2:$B$30,0)),"")</f>
        <v>06E (sizes to add)</v>
      </c>
      <c r="H482" s="19"/>
      <c r="I482" s="19"/>
      <c r="J482" s="19"/>
      <c r="K482" s="19" t="s">
        <v>70</v>
      </c>
      <c r="L482" s="19"/>
      <c r="M482" s="19"/>
      <c r="N482" s="19"/>
      <c r="O482" s="18" t="str">
        <f aca="false">C482&amp;" "&amp;D482&amp;" spare part - Efforts Engineers"</f>
        <v>Carrier 06E Series Crankshaft spare part - Efforts Engineers</v>
      </c>
      <c r="P482" s="16" t="str">
        <f aca="false">IFERROR("/"&amp;LOWER(B482)&amp;"/"&amp;INDEX(Series!$D$2:$D$30,MATCH(C482,Series!$B$2:$B$30,0))&amp;"/"&amp;INDEX(Part_Categories!$C$2:$C$18,MATCH(D482,Part_Categories!$B$2:$B$18,0)),"CHECK")</f>
        <v>/carrier/06e/crankshaft</v>
      </c>
      <c r="Q482" s="19"/>
    </row>
    <row r="483" customFormat="false" ht="23.85" hidden="false" customHeight="false" outlineLevel="0" collapsed="false">
      <c r="A483" s="16" t="n">
        <f aca="false">ROW()-1</f>
        <v>482</v>
      </c>
      <c r="B483" s="17" t="s">
        <v>79</v>
      </c>
      <c r="C483" s="17" t="s">
        <v>133</v>
      </c>
      <c r="D483" s="17" t="s">
        <v>95</v>
      </c>
      <c r="E483" s="16" t="str">
        <f aca="false">IFERROR(INDEX(Lists!$B$2:$B$7,MATCH(B483,Lists!$A$2:$A$7,0))&amp;"-"&amp;INDEX(Series!$C$2:$C$30,MATCH(C483,Series!$B$2:$B$30,0))&amp;"-"&amp;INDEX(Part_Categories!$A$2:$A$18,MATCH(D483,Part_Categories!$B$2:$B$18,0))&amp;"-01","CHECK")</f>
        <v>CAR-06E-PIN-01</v>
      </c>
      <c r="F483" s="16" t="str">
        <f aca="false">E483&amp;".jpg"</f>
        <v>CAR-06E-PIN-01.jpg</v>
      </c>
      <c r="G483" s="18" t="str">
        <f aca="false">IFERROR(INDEX(Series!$F$2:$F$30,MATCH(C483,Series!$B$2:$B$30,0)),"")</f>
        <v>06E (sizes to add)</v>
      </c>
      <c r="H483" s="19"/>
      <c r="I483" s="19"/>
      <c r="J483" s="19"/>
      <c r="K483" s="19" t="s">
        <v>70</v>
      </c>
      <c r="L483" s="19"/>
      <c r="M483" s="19"/>
      <c r="N483" s="19"/>
      <c r="O483" s="18" t="str">
        <f aca="false">C483&amp;" "&amp;D483&amp;" spare part - Efforts Engineers"</f>
        <v>Carrier 06E Series Gudgeon Pin and Bush spare part - Efforts Engineers</v>
      </c>
      <c r="P483" s="16" t="str">
        <f aca="false">IFERROR("/"&amp;LOWER(B483)&amp;"/"&amp;INDEX(Series!$D$2:$D$30,MATCH(C483,Series!$B$2:$B$30,0))&amp;"/"&amp;INDEX(Part_Categories!$C$2:$C$18,MATCH(D483,Part_Categories!$B$2:$B$18,0)),"CHECK")</f>
        <v>/carrier/06e/gudgeon-pin-and-bush</v>
      </c>
      <c r="Q483" s="19"/>
    </row>
    <row r="484" customFormat="false" ht="23.85" hidden="false" customHeight="false" outlineLevel="0" collapsed="false">
      <c r="A484" s="16" t="n">
        <f aca="false">ROW()-1</f>
        <v>483</v>
      </c>
      <c r="B484" s="17" t="s">
        <v>79</v>
      </c>
      <c r="C484" s="17" t="s">
        <v>133</v>
      </c>
      <c r="D484" s="17" t="s">
        <v>96</v>
      </c>
      <c r="E484" s="16" t="str">
        <f aca="false">IFERROR(INDEX(Lists!$B$2:$B$7,MATCH(B484,Lists!$A$2:$A$7,0))&amp;"-"&amp;INDEX(Series!$C$2:$C$30,MATCH(C484,Series!$B$2:$B$30,0))&amp;"-"&amp;INDEX(Part_Categories!$A$2:$A$18,MATCH(D484,Part_Categories!$B$2:$B$18,0))&amp;"-01","CHECK")</f>
        <v>CAR-06E-BRG-01</v>
      </c>
      <c r="F484" s="16" t="str">
        <f aca="false">E484&amp;".jpg"</f>
        <v>CAR-06E-BRG-01.jpg</v>
      </c>
      <c r="G484" s="18" t="str">
        <f aca="false">IFERROR(INDEX(Series!$F$2:$F$30,MATCH(C484,Series!$B$2:$B$30,0)),"")</f>
        <v>06E (sizes to add)</v>
      </c>
      <c r="H484" s="19"/>
      <c r="I484" s="19"/>
      <c r="J484" s="19"/>
      <c r="K484" s="19" t="s">
        <v>70</v>
      </c>
      <c r="L484" s="19"/>
      <c r="M484" s="19"/>
      <c r="N484" s="19"/>
      <c r="O484" s="18" t="str">
        <f aca="false">C484&amp;" "&amp;D484&amp;" spare part - Efforts Engineers"</f>
        <v>Carrier 06E Series Main Bearing and Bush spare part - Efforts Engineers</v>
      </c>
      <c r="P484" s="16" t="str">
        <f aca="false">IFERROR("/"&amp;LOWER(B484)&amp;"/"&amp;INDEX(Series!$D$2:$D$30,MATCH(C484,Series!$B$2:$B$30,0))&amp;"/"&amp;INDEX(Part_Categories!$C$2:$C$18,MATCH(D484,Part_Categories!$B$2:$B$18,0)),"CHECK")</f>
        <v>/carrier/06e/main-bearing-and-bush</v>
      </c>
      <c r="Q484" s="19"/>
    </row>
    <row r="485" customFormat="false" ht="23.85" hidden="false" customHeight="false" outlineLevel="0" collapsed="false">
      <c r="A485" s="16" t="n">
        <f aca="false">ROW()-1</f>
        <v>484</v>
      </c>
      <c r="B485" s="17" t="s">
        <v>79</v>
      </c>
      <c r="C485" s="17" t="s">
        <v>133</v>
      </c>
      <c r="D485" s="17" t="s">
        <v>97</v>
      </c>
      <c r="E485" s="16" t="str">
        <f aca="false">IFERROR(INDEX(Lists!$B$2:$B$7,MATCH(B485,Lists!$A$2:$A$7,0))&amp;"-"&amp;INDEX(Series!$C$2:$C$30,MATCH(C485,Series!$B$2:$B$30,0))&amp;"-"&amp;INDEX(Part_Categories!$A$2:$A$18,MATCH(D485,Part_Categories!$B$2:$B$18,0))&amp;"-01","CHECK")</f>
        <v>CAR-06E-SVP-01</v>
      </c>
      <c r="F485" s="16" t="str">
        <f aca="false">E485&amp;".jpg"</f>
        <v>CAR-06E-SVP-01.jpg</v>
      </c>
      <c r="G485" s="18" t="str">
        <f aca="false">IFERROR(INDEX(Series!$F$2:$F$30,MATCH(C485,Series!$B$2:$B$30,0)),"")</f>
        <v>06E (sizes to add)</v>
      </c>
      <c r="H485" s="19"/>
      <c r="I485" s="19"/>
      <c r="J485" s="19"/>
      <c r="K485" s="19" t="s">
        <v>70</v>
      </c>
      <c r="L485" s="19"/>
      <c r="M485" s="19"/>
      <c r="N485" s="19"/>
      <c r="O485" s="18" t="str">
        <f aca="false">C485&amp;" "&amp;D485&amp;" spare part - Efforts Engineers"</f>
        <v>Carrier 06E Series Suction Valve Plate spare part - Efforts Engineers</v>
      </c>
      <c r="P485" s="16" t="str">
        <f aca="false">IFERROR("/"&amp;LOWER(B485)&amp;"/"&amp;INDEX(Series!$D$2:$D$30,MATCH(C485,Series!$B$2:$B$30,0))&amp;"/"&amp;INDEX(Part_Categories!$C$2:$C$18,MATCH(D485,Part_Categories!$B$2:$B$18,0)),"CHECK")</f>
        <v>/carrier/06e/suction-valve-plate</v>
      </c>
      <c r="Q485" s="19"/>
    </row>
    <row r="486" customFormat="false" ht="23.85" hidden="false" customHeight="false" outlineLevel="0" collapsed="false">
      <c r="A486" s="16" t="n">
        <f aca="false">ROW()-1</f>
        <v>485</v>
      </c>
      <c r="B486" s="17" t="s">
        <v>79</v>
      </c>
      <c r="C486" s="17" t="s">
        <v>133</v>
      </c>
      <c r="D486" s="17" t="s">
        <v>98</v>
      </c>
      <c r="E486" s="16" t="str">
        <f aca="false">IFERROR(INDEX(Lists!$B$2:$B$7,MATCH(B486,Lists!$A$2:$A$7,0))&amp;"-"&amp;INDEX(Series!$C$2:$C$30,MATCH(C486,Series!$B$2:$B$30,0))&amp;"-"&amp;INDEX(Part_Categories!$A$2:$A$18,MATCH(D486,Part_Categories!$B$2:$B$18,0))&amp;"-01","CHECK")</f>
        <v>CAR-06E-DVA-01</v>
      </c>
      <c r="F486" s="16" t="str">
        <f aca="false">E486&amp;".jpg"</f>
        <v>CAR-06E-DVA-01.jpg</v>
      </c>
      <c r="G486" s="18" t="str">
        <f aca="false">IFERROR(INDEX(Series!$F$2:$F$30,MATCH(C486,Series!$B$2:$B$30,0)),"")</f>
        <v>06E (sizes to add)</v>
      </c>
      <c r="H486" s="19"/>
      <c r="I486" s="19"/>
      <c r="J486" s="19"/>
      <c r="K486" s="19" t="s">
        <v>70</v>
      </c>
      <c r="L486" s="19"/>
      <c r="M486" s="19"/>
      <c r="N486" s="19"/>
      <c r="O486" s="18" t="str">
        <f aca="false">C486&amp;" "&amp;D486&amp;" spare part - Efforts Engineers"</f>
        <v>Carrier 06E Series Discharge Valve Assembly spare part - Efforts Engineers</v>
      </c>
      <c r="P486" s="16" t="str">
        <f aca="false">IFERROR("/"&amp;LOWER(B486)&amp;"/"&amp;INDEX(Series!$D$2:$D$30,MATCH(C486,Series!$B$2:$B$30,0))&amp;"/"&amp;INDEX(Part_Categories!$C$2:$C$18,MATCH(D486,Part_Categories!$B$2:$B$18,0)),"CHECK")</f>
        <v>/carrier/06e/discharge-valve-assembly</v>
      </c>
      <c r="Q486" s="19"/>
    </row>
    <row r="487" customFormat="false" ht="23.85" hidden="false" customHeight="false" outlineLevel="0" collapsed="false">
      <c r="A487" s="16" t="n">
        <f aca="false">ROW()-1</f>
        <v>486</v>
      </c>
      <c r="B487" s="17" t="s">
        <v>79</v>
      </c>
      <c r="C487" s="17" t="s">
        <v>133</v>
      </c>
      <c r="D487" s="17" t="s">
        <v>99</v>
      </c>
      <c r="E487" s="16" t="str">
        <f aca="false">IFERROR(INDEX(Lists!$B$2:$B$7,MATCH(B487,Lists!$A$2:$A$7,0))&amp;"-"&amp;INDEX(Series!$C$2:$C$30,MATCH(C487,Series!$B$2:$B$30,0))&amp;"-"&amp;INDEX(Part_Categories!$A$2:$A$18,MATCH(D487,Part_Categories!$B$2:$B$18,0))&amp;"-01","CHECK")</f>
        <v>CAR-06E-VSP-01</v>
      </c>
      <c r="F487" s="16" t="str">
        <f aca="false">E487&amp;".jpg"</f>
        <v>CAR-06E-VSP-01.jpg</v>
      </c>
      <c r="G487" s="18" t="str">
        <f aca="false">IFERROR(INDEX(Series!$F$2:$F$30,MATCH(C487,Series!$B$2:$B$30,0)),"")</f>
        <v>06E (sizes to add)</v>
      </c>
      <c r="H487" s="19"/>
      <c r="I487" s="19"/>
      <c r="J487" s="19"/>
      <c r="K487" s="19" t="s">
        <v>70</v>
      </c>
      <c r="L487" s="19"/>
      <c r="M487" s="19"/>
      <c r="N487" s="19"/>
      <c r="O487" s="18" t="str">
        <f aca="false">C487&amp;" "&amp;D487&amp;" spare part - Efforts Engineers"</f>
        <v>Carrier 06E Series Valve Spring and Cage spare part - Efforts Engineers</v>
      </c>
      <c r="P487" s="16" t="str">
        <f aca="false">IFERROR("/"&amp;LOWER(B487)&amp;"/"&amp;INDEX(Series!$D$2:$D$30,MATCH(C487,Series!$B$2:$B$30,0))&amp;"/"&amp;INDEX(Part_Categories!$C$2:$C$18,MATCH(D487,Part_Categories!$B$2:$B$18,0)),"CHECK")</f>
        <v>/carrier/06e/valve-spring-and-cage</v>
      </c>
      <c r="Q487" s="19"/>
    </row>
    <row r="488" customFormat="false" ht="23.85" hidden="false" customHeight="false" outlineLevel="0" collapsed="false">
      <c r="A488" s="16" t="n">
        <f aca="false">ROW()-1</f>
        <v>487</v>
      </c>
      <c r="B488" s="17" t="s">
        <v>79</v>
      </c>
      <c r="C488" s="17" t="s">
        <v>133</v>
      </c>
      <c r="D488" s="17" t="s">
        <v>100</v>
      </c>
      <c r="E488" s="16" t="str">
        <f aca="false">IFERROR(INDEX(Lists!$B$2:$B$7,MATCH(B488,Lists!$A$2:$A$7,0))&amp;"-"&amp;INDEX(Series!$C$2:$C$30,MATCH(C488,Series!$B$2:$B$30,0))&amp;"-"&amp;INDEX(Part_Categories!$A$2:$A$18,MATCH(D488,Part_Categories!$B$2:$B$18,0))&amp;"-01","CHECK")</f>
        <v>CAR-06E-HDC-01</v>
      </c>
      <c r="F488" s="16" t="str">
        <f aca="false">E488&amp;".jpg"</f>
        <v>CAR-06E-HDC-01.jpg</v>
      </c>
      <c r="G488" s="18" t="str">
        <f aca="false">IFERROR(INDEX(Series!$F$2:$F$30,MATCH(C488,Series!$B$2:$B$30,0)),"")</f>
        <v>06E (sizes to add)</v>
      </c>
      <c r="H488" s="19"/>
      <c r="I488" s="19"/>
      <c r="J488" s="19"/>
      <c r="K488" s="19" t="s">
        <v>70</v>
      </c>
      <c r="L488" s="19"/>
      <c r="M488" s="19"/>
      <c r="N488" s="19"/>
      <c r="O488" s="18" t="str">
        <f aca="false">C488&amp;" "&amp;D488&amp;" spare part - Efforts Engineers"</f>
        <v>Carrier 06E Series Cylinder Head Cover spare part - Efforts Engineers</v>
      </c>
      <c r="P488" s="16" t="str">
        <f aca="false">IFERROR("/"&amp;LOWER(B488)&amp;"/"&amp;INDEX(Series!$D$2:$D$30,MATCH(C488,Series!$B$2:$B$30,0))&amp;"/"&amp;INDEX(Part_Categories!$C$2:$C$18,MATCH(D488,Part_Categories!$B$2:$B$18,0)),"CHECK")</f>
        <v>/carrier/06e/cylinder-head-cover</v>
      </c>
      <c r="Q488" s="19"/>
    </row>
    <row r="489" customFormat="false" ht="23.85" hidden="false" customHeight="false" outlineLevel="0" collapsed="false">
      <c r="A489" s="16" t="n">
        <f aca="false">ROW()-1</f>
        <v>488</v>
      </c>
      <c r="B489" s="17" t="s">
        <v>79</v>
      </c>
      <c r="C489" s="17" t="s">
        <v>133</v>
      </c>
      <c r="D489" s="17" t="s">
        <v>101</v>
      </c>
      <c r="E489" s="16" t="str">
        <f aca="false">IFERROR(INDEX(Lists!$B$2:$B$7,MATCH(B489,Lists!$A$2:$A$7,0))&amp;"-"&amp;INDEX(Series!$C$2:$C$30,MATCH(C489,Series!$B$2:$B$30,0))&amp;"-"&amp;INDEX(Part_Categories!$A$2:$A$18,MATCH(D489,Part_Categories!$B$2:$B$18,0))&amp;"-01","CHECK")</f>
        <v>CAR-06E-GSK-01</v>
      </c>
      <c r="F489" s="16" t="str">
        <f aca="false">E489&amp;".jpg"</f>
        <v>CAR-06E-GSK-01.jpg</v>
      </c>
      <c r="G489" s="18" t="str">
        <f aca="false">IFERROR(INDEX(Series!$F$2:$F$30,MATCH(C489,Series!$B$2:$B$30,0)),"")</f>
        <v>06E (sizes to add)</v>
      </c>
      <c r="H489" s="19"/>
      <c r="I489" s="19"/>
      <c r="J489" s="19"/>
      <c r="K489" s="19" t="s">
        <v>70</v>
      </c>
      <c r="L489" s="19"/>
      <c r="M489" s="19"/>
      <c r="N489" s="19"/>
      <c r="O489" s="18" t="str">
        <f aca="false">C489&amp;" "&amp;D489&amp;" spare part - Efforts Engineers"</f>
        <v>Carrier 06E Series Gasket and Overhaul Kit spare part - Efforts Engineers</v>
      </c>
      <c r="P489" s="16" t="str">
        <f aca="false">IFERROR("/"&amp;LOWER(B489)&amp;"/"&amp;INDEX(Series!$D$2:$D$30,MATCH(C489,Series!$B$2:$B$30,0))&amp;"/"&amp;INDEX(Part_Categories!$C$2:$C$18,MATCH(D489,Part_Categories!$B$2:$B$18,0)),"CHECK")</f>
        <v>/carrier/06e/gasket-and-overhaul-kit</v>
      </c>
      <c r="Q489" s="19"/>
    </row>
    <row r="490" customFormat="false" ht="23.85" hidden="false" customHeight="false" outlineLevel="0" collapsed="false">
      <c r="A490" s="16" t="n">
        <f aca="false">ROW()-1</f>
        <v>489</v>
      </c>
      <c r="B490" s="17" t="s">
        <v>79</v>
      </c>
      <c r="C490" s="17" t="s">
        <v>133</v>
      </c>
      <c r="D490" s="17" t="s">
        <v>102</v>
      </c>
      <c r="E490" s="16" t="str">
        <f aca="false">IFERROR(INDEX(Lists!$B$2:$B$7,MATCH(B490,Lists!$A$2:$A$7,0))&amp;"-"&amp;INDEX(Series!$C$2:$C$30,MATCH(C490,Series!$B$2:$B$30,0))&amp;"-"&amp;INDEX(Part_Categories!$A$2:$A$18,MATCH(D490,Part_Categories!$B$2:$B$18,0))&amp;"-01","CHECK")</f>
        <v>CAR-06E-OPA-01</v>
      </c>
      <c r="F490" s="16" t="str">
        <f aca="false">E490&amp;".jpg"</f>
        <v>CAR-06E-OPA-01.jpg</v>
      </c>
      <c r="G490" s="18" t="str">
        <f aca="false">IFERROR(INDEX(Series!$F$2:$F$30,MATCH(C490,Series!$B$2:$B$30,0)),"")</f>
        <v>06E (sizes to add)</v>
      </c>
      <c r="H490" s="19"/>
      <c r="I490" s="19"/>
      <c r="J490" s="19"/>
      <c r="K490" s="19" t="s">
        <v>70</v>
      </c>
      <c r="L490" s="19"/>
      <c r="M490" s="19"/>
      <c r="N490" s="19"/>
      <c r="O490" s="18" t="str">
        <f aca="false">C490&amp;" "&amp;D490&amp;" spare part - Efforts Engineers"</f>
        <v>Carrier 06E Series Oil Pump Assembly spare part - Efforts Engineers</v>
      </c>
      <c r="P490" s="16" t="str">
        <f aca="false">IFERROR("/"&amp;LOWER(B490)&amp;"/"&amp;INDEX(Series!$D$2:$D$30,MATCH(C490,Series!$B$2:$B$30,0))&amp;"/"&amp;INDEX(Part_Categories!$C$2:$C$18,MATCH(D490,Part_Categories!$B$2:$B$18,0)),"CHECK")</f>
        <v>/carrier/06e/oil-pump-assembly</v>
      </c>
      <c r="Q490" s="19"/>
    </row>
    <row r="491" customFormat="false" ht="23.85" hidden="false" customHeight="false" outlineLevel="0" collapsed="false">
      <c r="A491" s="16" t="n">
        <f aca="false">ROW()-1</f>
        <v>490</v>
      </c>
      <c r="B491" s="17" t="s">
        <v>79</v>
      </c>
      <c r="C491" s="17" t="s">
        <v>133</v>
      </c>
      <c r="D491" s="17" t="s">
        <v>103</v>
      </c>
      <c r="E491" s="16" t="str">
        <f aca="false">IFERROR(INDEX(Lists!$B$2:$B$7,MATCH(B491,Lists!$A$2:$A$7,0))&amp;"-"&amp;INDEX(Series!$C$2:$C$30,MATCH(C491,Series!$B$2:$B$30,0))&amp;"-"&amp;INDEX(Part_Categories!$A$2:$A$18,MATCH(D491,Part_Categories!$B$2:$B$18,0))&amp;"-01","CHECK")</f>
        <v>CAR-06E-SHS-01</v>
      </c>
      <c r="F491" s="16" t="str">
        <f aca="false">E491&amp;".jpg"</f>
        <v>CAR-06E-SHS-01.jpg</v>
      </c>
      <c r="G491" s="18" t="str">
        <f aca="false">IFERROR(INDEX(Series!$F$2:$F$30,MATCH(C491,Series!$B$2:$B$30,0)),"")</f>
        <v>06E (sizes to add)</v>
      </c>
      <c r="H491" s="19"/>
      <c r="I491" s="19"/>
      <c r="J491" s="19"/>
      <c r="K491" s="19" t="s">
        <v>70</v>
      </c>
      <c r="L491" s="19"/>
      <c r="M491" s="19"/>
      <c r="N491" s="19"/>
      <c r="O491" s="18" t="str">
        <f aca="false">C491&amp;" "&amp;D491&amp;" spare part - Efforts Engineers"</f>
        <v>Carrier 06E Series Shaft Seal spare part - Efforts Engineers</v>
      </c>
      <c r="P491" s="16" t="str">
        <f aca="false">IFERROR("/"&amp;LOWER(B491)&amp;"/"&amp;INDEX(Series!$D$2:$D$30,MATCH(C491,Series!$B$2:$B$30,0))&amp;"/"&amp;INDEX(Part_Categories!$C$2:$C$18,MATCH(D491,Part_Categories!$B$2:$B$18,0)),"CHECK")</f>
        <v>/carrier/06e/shaft-seal</v>
      </c>
      <c r="Q491" s="19"/>
    </row>
    <row r="492" customFormat="false" ht="23.85" hidden="false" customHeight="false" outlineLevel="0" collapsed="false">
      <c r="A492" s="16" t="n">
        <f aca="false">ROW()-1</f>
        <v>491</v>
      </c>
      <c r="B492" s="17" t="s">
        <v>79</v>
      </c>
      <c r="C492" s="17" t="s">
        <v>133</v>
      </c>
      <c r="D492" s="17" t="s">
        <v>104</v>
      </c>
      <c r="E492" s="16" t="str">
        <f aca="false">IFERROR(INDEX(Lists!$B$2:$B$7,MATCH(B492,Lists!$A$2:$A$7,0))&amp;"-"&amp;INDEX(Series!$C$2:$C$30,MATCH(C492,Series!$B$2:$B$30,0))&amp;"-"&amp;INDEX(Part_Categories!$A$2:$A$18,MATCH(D492,Part_Categories!$B$2:$B$18,0))&amp;"-01","CHECK")</f>
        <v>CAR-06E-FLT-01</v>
      </c>
      <c r="F492" s="16" t="str">
        <f aca="false">E492&amp;".jpg"</f>
        <v>CAR-06E-FLT-01.jpg</v>
      </c>
      <c r="G492" s="18" t="str">
        <f aca="false">IFERROR(INDEX(Series!$F$2:$F$30,MATCH(C492,Series!$B$2:$B$30,0)),"")</f>
        <v>06E (sizes to add)</v>
      </c>
      <c r="H492" s="19"/>
      <c r="I492" s="19"/>
      <c r="J492" s="19"/>
      <c r="K492" s="19" t="s">
        <v>70</v>
      </c>
      <c r="L492" s="19"/>
      <c r="M492" s="19"/>
      <c r="N492" s="19"/>
      <c r="O492" s="18" t="str">
        <f aca="false">C492&amp;" "&amp;D492&amp;" spare part - Efforts Engineers"</f>
        <v>Carrier 06E Series Oil Filter and Strainer spare part - Efforts Engineers</v>
      </c>
      <c r="P492" s="16" t="str">
        <f aca="false">IFERROR("/"&amp;LOWER(B492)&amp;"/"&amp;INDEX(Series!$D$2:$D$30,MATCH(C492,Series!$B$2:$B$30,0))&amp;"/"&amp;INDEX(Part_Categories!$C$2:$C$18,MATCH(D492,Part_Categories!$B$2:$B$18,0)),"CHECK")</f>
        <v>/carrier/06e/oil-filter-and-strainer</v>
      </c>
      <c r="Q492" s="19"/>
    </row>
    <row r="493" customFormat="false" ht="23.85" hidden="false" customHeight="false" outlineLevel="0" collapsed="false">
      <c r="A493" s="16" t="n">
        <f aca="false">ROW()-1</f>
        <v>492</v>
      </c>
      <c r="B493" s="17" t="s">
        <v>79</v>
      </c>
      <c r="C493" s="17" t="s">
        <v>133</v>
      </c>
      <c r="D493" s="17" t="s">
        <v>105</v>
      </c>
      <c r="E493" s="16" t="str">
        <f aca="false">IFERROR(INDEX(Lists!$B$2:$B$7,MATCH(B493,Lists!$A$2:$A$7,0))&amp;"-"&amp;INDEX(Series!$C$2:$C$30,MATCH(C493,Series!$B$2:$B$30,0))&amp;"-"&amp;INDEX(Part_Categories!$A$2:$A$18,MATCH(D493,Part_Categories!$B$2:$B$18,0))&amp;"-01","CHECK")</f>
        <v>CAR-06E-ULD-01</v>
      </c>
      <c r="F493" s="16" t="str">
        <f aca="false">E493&amp;".jpg"</f>
        <v>CAR-06E-ULD-01.jpg</v>
      </c>
      <c r="G493" s="18" t="str">
        <f aca="false">IFERROR(INDEX(Series!$F$2:$F$30,MATCH(C493,Series!$B$2:$B$30,0)),"")</f>
        <v>06E (sizes to add)</v>
      </c>
      <c r="H493" s="19"/>
      <c r="I493" s="19"/>
      <c r="J493" s="19"/>
      <c r="K493" s="19" t="s">
        <v>70</v>
      </c>
      <c r="L493" s="19"/>
      <c r="M493" s="19"/>
      <c r="N493" s="19"/>
      <c r="O493" s="18" t="str">
        <f aca="false">C493&amp;" "&amp;D493&amp;" spare part - Efforts Engineers"</f>
        <v>Carrier 06E Series Unloader and Capacity Control spare part - Efforts Engineers</v>
      </c>
      <c r="P493" s="16" t="str">
        <f aca="false">IFERROR("/"&amp;LOWER(B493)&amp;"/"&amp;INDEX(Series!$D$2:$D$30,MATCH(C493,Series!$B$2:$B$30,0))&amp;"/"&amp;INDEX(Part_Categories!$C$2:$C$18,MATCH(D493,Part_Categories!$B$2:$B$18,0)),"CHECK")</f>
        <v>/carrier/06e/unloader-and-capacity-control</v>
      </c>
      <c r="Q493" s="19"/>
    </row>
    <row r="494" customFormat="false" ht="23.85" hidden="false" customHeight="false" outlineLevel="0" collapsed="false">
      <c r="A494" s="16" t="n">
        <f aca="false">ROW()-1</f>
        <v>493</v>
      </c>
      <c r="B494" s="17" t="s">
        <v>79</v>
      </c>
      <c r="C494" s="17" t="s">
        <v>133</v>
      </c>
      <c r="D494" s="17" t="s">
        <v>106</v>
      </c>
      <c r="E494" s="16" t="str">
        <f aca="false">IFERROR(INDEX(Lists!$B$2:$B$7,MATCH(B494,Lists!$A$2:$A$7,0))&amp;"-"&amp;INDEX(Series!$C$2:$C$30,MATCH(C494,Series!$B$2:$B$30,0))&amp;"-"&amp;INDEX(Part_Categories!$A$2:$A$18,MATCH(D494,Part_Categories!$B$2:$B$18,0))&amp;"-01","CHECK")</f>
        <v>CAR-06E-SAF-01</v>
      </c>
      <c r="F494" s="16" t="str">
        <f aca="false">E494&amp;".jpg"</f>
        <v>CAR-06E-SAF-01.jpg</v>
      </c>
      <c r="G494" s="18" t="str">
        <f aca="false">IFERROR(INDEX(Series!$F$2:$F$30,MATCH(C494,Series!$B$2:$B$30,0)),"")</f>
        <v>06E (sizes to add)</v>
      </c>
      <c r="H494" s="19"/>
      <c r="I494" s="19"/>
      <c r="J494" s="19"/>
      <c r="K494" s="19" t="s">
        <v>70</v>
      </c>
      <c r="L494" s="19"/>
      <c r="M494" s="19"/>
      <c r="N494" s="19"/>
      <c r="O494" s="18" t="str">
        <f aca="false">C494&amp;" "&amp;D494&amp;" spare part - Efforts Engineers"</f>
        <v>Carrier 06E Series Safety Head and Relief Valve spare part - Efforts Engineers</v>
      </c>
      <c r="P494" s="16" t="str">
        <f aca="false">IFERROR("/"&amp;LOWER(B494)&amp;"/"&amp;INDEX(Series!$D$2:$D$30,MATCH(C494,Series!$B$2:$B$30,0))&amp;"/"&amp;INDEX(Part_Categories!$C$2:$C$18,MATCH(D494,Part_Categories!$B$2:$B$18,0)),"CHECK")</f>
        <v>/carrier/06e/safety-head-and-relief-valve</v>
      </c>
      <c r="Q494" s="19"/>
    </row>
  </sheetData>
  <autoFilter ref="A1:Q494"/>
  <conditionalFormatting sqref="K2:K494">
    <cfRule type="cellIs" priority="2" operator="equal" aboveAverage="0" equalAverage="0" bottom="0" percent="0" rank="0" text="" dxfId="7">
      <formula>"To Shoot"</formula>
    </cfRule>
    <cfRule type="cellIs" priority="3" operator="equal" aboveAverage="0" equalAverage="0" bottom="0" percent="0" rank="0" text="" dxfId="8">
      <formula>"Shot"</formula>
    </cfRule>
    <cfRule type="cellIs" priority="4" operator="equal" aboveAverage="0" equalAverage="0" bottom="0" percent="0" rank="0" text="" dxfId="9">
      <formula>"Edited"</formula>
    </cfRule>
    <cfRule type="cellIs" priority="5" operator="equal" aboveAverage="0" equalAverage="0" bottom="0" percent="0" rank="0" text="" dxfId="10">
      <formula>"Uploaded"</formula>
    </cfRule>
    <cfRule type="cellIs" priority="6" operator="equal" aboveAverage="0" equalAverage="0" bottom="0" percent="0" rank="0" text="" dxfId="11">
      <formula>"Not Applicable"</formula>
    </cfRule>
  </conditionalFormatting>
  <dataValidations count="7">
    <dataValidation allowBlank="true" error="Pick a value from the list" errorStyle="stop" operator="between" showDropDown="false" showErrorMessage="false" showInputMessage="false" sqref="B2:B494" type="list">
      <formula1>Lists!$A$2:$A$7</formula1>
      <formula2>0</formula2>
    </dataValidation>
    <dataValidation allowBlank="true" error="Pick a value from the list" errorStyle="stop" operator="between" showDropDown="false" showErrorMessage="false" showInputMessage="false" sqref="C2:C494" type="list">
      <formula1>Series!$B$2:$B$30</formula1>
      <formula2>0</formula2>
    </dataValidation>
    <dataValidation allowBlank="true" error="Pick a value from the list" errorStyle="stop" operator="between" showDropDown="false" showErrorMessage="false" showInputMessage="false" sqref="D2:D494" type="list">
      <formula1>Part_Categories!$B$2:$B$18</formula1>
      <formula2>0</formula2>
    </dataValidation>
    <dataValidation allowBlank="true" error="Pick a value from the list" errorStyle="stop" operator="between" showDropDown="false" showErrorMessage="false" showInputMessage="false" sqref="K2:K494" type="list">
      <formula1>Lists!$D$2:$D$6</formula1>
      <formula2>0</formula2>
    </dataValidation>
    <dataValidation allowBlank="true" error="Pick a value from the list" errorStyle="stop" operator="between" showDropDown="false" showErrorMessage="false" showInputMessage="false" sqref="L2:L494" type="list">
      <formula1>Lists!$F$2:$F$4</formula1>
      <formula2>0</formula2>
    </dataValidation>
    <dataValidation allowBlank="true" error="Pick a value from the list" errorStyle="stop" operator="between" showDropDown="false" showErrorMessage="false" showInputMessage="false" sqref="M2:M494" type="list">
      <formula1>Lists!$H$2:$H$6</formula1>
      <formula2>0</formula2>
    </dataValidation>
    <dataValidation allowBlank="true" error="Pick a value from the list" errorStyle="stop" operator="between" showDropDown="false" showErrorMessage="false" showInputMessage="false" sqref="N2:N494" type="list">
      <formula1>Lists!$J$2:$J$4</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3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32"/>
    <col collapsed="false" customWidth="true" hidden="false" outlineLevel="0" max="3" min="3" style="0" width="12"/>
    <col collapsed="false" customWidth="true" hidden="false" outlineLevel="0" max="4" min="4" style="0" width="16"/>
    <col collapsed="false" customWidth="true" hidden="false" outlineLevel="0" max="5" min="5" style="0" width="40"/>
    <col collapsed="false" customWidth="true" hidden="false" outlineLevel="0" max="6" min="6" style="0" width="70"/>
    <col collapsed="false" customWidth="true" hidden="false" outlineLevel="0" max="9" min="7" style="0" width="10"/>
    <col collapsed="false" customWidth="true" hidden="false" outlineLevel="0" max="10" min="10" style="0" width="11"/>
  </cols>
  <sheetData>
    <row r="1" customFormat="false" ht="23.85" hidden="false" customHeight="false" outlineLevel="0" collapsed="false">
      <c r="A1" s="8" t="s">
        <v>47</v>
      </c>
      <c r="B1" s="8" t="s">
        <v>7</v>
      </c>
      <c r="C1" s="8" t="s">
        <v>134</v>
      </c>
      <c r="D1" s="8" t="s">
        <v>135</v>
      </c>
      <c r="E1" s="8" t="s">
        <v>136</v>
      </c>
      <c r="F1" s="8" t="s">
        <v>137</v>
      </c>
      <c r="G1" s="8" t="s">
        <v>68</v>
      </c>
      <c r="H1" s="8" t="s">
        <v>69</v>
      </c>
      <c r="I1" s="8" t="s">
        <v>62</v>
      </c>
      <c r="J1" s="8" t="s">
        <v>74</v>
      </c>
    </row>
    <row r="2" customFormat="false" ht="15" hidden="false" customHeight="true" outlineLevel="0" collapsed="false">
      <c r="A2" s="18" t="s">
        <v>75</v>
      </c>
      <c r="B2" s="18" t="s">
        <v>90</v>
      </c>
      <c r="C2" s="18" t="s">
        <v>138</v>
      </c>
      <c r="D2" s="18" t="s">
        <v>139</v>
      </c>
      <c r="E2" s="18" t="s">
        <v>140</v>
      </c>
      <c r="F2" s="18" t="s">
        <v>141</v>
      </c>
      <c r="G2" s="20" t="n">
        <f aca="false">COUNTIFS(Model_List!$B$2:$B$171,B2)</f>
        <v>6</v>
      </c>
      <c r="H2" s="20" t="n">
        <f aca="false">COUNTIFS(Master_Photo_Sheet!$C$2:$C$494,B2)</f>
        <v>17</v>
      </c>
      <c r="I2" s="20" t="n">
        <f aca="false">COUNTIFS(Master_Photo_Sheet!$C$2:$C$494,B2,Master_Photo_Sheet!$K$2:$K$494,"Uploaded")</f>
        <v>0</v>
      </c>
      <c r="J2" s="21" t="n">
        <f aca="false">IF(H2-COUNTIFS(Master_Photo_Sheet!$C$2:$C$494,B2,Master_Photo_Sheet!$K$2:$K$494,"Not Applicable")=0,0,I2/(H2-COUNTIFS(Master_Photo_Sheet!$C$2:$C$494,B2,Master_Photo_Sheet!$K$2:$K$494,"Not Applicable")))</f>
        <v>0</v>
      </c>
    </row>
    <row r="3" customFormat="false" ht="15" hidden="false" customHeight="true" outlineLevel="0" collapsed="false">
      <c r="A3" s="18" t="s">
        <v>75</v>
      </c>
      <c r="B3" s="18" t="s">
        <v>107</v>
      </c>
      <c r="C3" s="18" t="s">
        <v>142</v>
      </c>
      <c r="D3" s="18" t="s">
        <v>143</v>
      </c>
      <c r="E3" s="18" t="s">
        <v>144</v>
      </c>
      <c r="F3" s="18" t="s">
        <v>145</v>
      </c>
      <c r="G3" s="20" t="n">
        <f aca="false">COUNTIFS(Model_List!$B$2:$B$171,B3)</f>
        <v>5</v>
      </c>
      <c r="H3" s="20" t="n">
        <f aca="false">COUNTIFS(Master_Photo_Sheet!$C$2:$C$494,B3)</f>
        <v>17</v>
      </c>
      <c r="I3" s="20" t="n">
        <f aca="false">COUNTIFS(Master_Photo_Sheet!$C$2:$C$494,B3,Master_Photo_Sheet!$K$2:$K$494,"Uploaded")</f>
        <v>0</v>
      </c>
      <c r="J3" s="21" t="n">
        <f aca="false">IF(H3-COUNTIFS(Master_Photo_Sheet!$C$2:$C$494,B3,Master_Photo_Sheet!$K$2:$K$494,"Not Applicable")=0,0,I3/(H3-COUNTIFS(Master_Photo_Sheet!$C$2:$C$494,B3,Master_Photo_Sheet!$K$2:$K$494,"Not Applicable")))</f>
        <v>0</v>
      </c>
    </row>
    <row r="4" customFormat="false" ht="15" hidden="false" customHeight="true" outlineLevel="0" collapsed="false">
      <c r="A4" s="18" t="s">
        <v>75</v>
      </c>
      <c r="B4" s="18" t="s">
        <v>108</v>
      </c>
      <c r="C4" s="18" t="s">
        <v>146</v>
      </c>
      <c r="D4" s="18" t="s">
        <v>147</v>
      </c>
      <c r="E4" s="18" t="s">
        <v>148</v>
      </c>
      <c r="F4" s="18" t="s">
        <v>149</v>
      </c>
      <c r="G4" s="20" t="n">
        <f aca="false">COUNTIFS(Model_List!$B$2:$B$171,B4)</f>
        <v>4</v>
      </c>
      <c r="H4" s="20" t="n">
        <f aca="false">COUNTIFS(Master_Photo_Sheet!$C$2:$C$494,B4)</f>
        <v>17</v>
      </c>
      <c r="I4" s="20" t="n">
        <f aca="false">COUNTIFS(Master_Photo_Sheet!$C$2:$C$494,B4,Master_Photo_Sheet!$K$2:$K$494,"Uploaded")</f>
        <v>0</v>
      </c>
      <c r="J4" s="21" t="n">
        <f aca="false">IF(H4-COUNTIFS(Master_Photo_Sheet!$C$2:$C$494,B4,Master_Photo_Sheet!$K$2:$K$494,"Not Applicable")=0,0,I4/(H4-COUNTIFS(Master_Photo_Sheet!$C$2:$C$494,B4,Master_Photo_Sheet!$K$2:$K$494,"Not Applicable")))</f>
        <v>0</v>
      </c>
    </row>
    <row r="5" customFormat="false" ht="15" hidden="false" customHeight="true" outlineLevel="0" collapsed="false">
      <c r="A5" s="18" t="s">
        <v>75</v>
      </c>
      <c r="B5" s="18" t="s">
        <v>109</v>
      </c>
      <c r="C5" s="18" t="s">
        <v>150</v>
      </c>
      <c r="D5" s="18" t="s">
        <v>151</v>
      </c>
      <c r="E5" s="18" t="s">
        <v>152</v>
      </c>
      <c r="F5" s="18" t="s">
        <v>153</v>
      </c>
      <c r="G5" s="20" t="n">
        <f aca="false">COUNTIFS(Model_List!$B$2:$B$171,B5)</f>
        <v>4</v>
      </c>
      <c r="H5" s="20" t="n">
        <f aca="false">COUNTIFS(Master_Photo_Sheet!$C$2:$C$494,B5)</f>
        <v>17</v>
      </c>
      <c r="I5" s="20" t="n">
        <f aca="false">COUNTIFS(Master_Photo_Sheet!$C$2:$C$494,B5,Master_Photo_Sheet!$K$2:$K$494,"Uploaded")</f>
        <v>0</v>
      </c>
      <c r="J5" s="21" t="n">
        <f aca="false">IF(H5-COUNTIFS(Master_Photo_Sheet!$C$2:$C$494,B5,Master_Photo_Sheet!$K$2:$K$494,"Not Applicable")=0,0,I5/(H5-COUNTIFS(Master_Photo_Sheet!$C$2:$C$494,B5,Master_Photo_Sheet!$K$2:$K$494,"Not Applicable")))</f>
        <v>0</v>
      </c>
    </row>
    <row r="6" customFormat="false" ht="25.5" hidden="false" customHeight="true" outlineLevel="0" collapsed="false">
      <c r="A6" s="18" t="s">
        <v>75</v>
      </c>
      <c r="B6" s="18" t="s">
        <v>110</v>
      </c>
      <c r="C6" s="18" t="s">
        <v>154</v>
      </c>
      <c r="D6" s="18" t="s">
        <v>155</v>
      </c>
      <c r="E6" s="18" t="s">
        <v>152</v>
      </c>
      <c r="F6" s="18" t="s">
        <v>156</v>
      </c>
      <c r="G6" s="20" t="n">
        <f aca="false">COUNTIFS(Model_List!$B$2:$B$171,B6)</f>
        <v>16</v>
      </c>
      <c r="H6" s="20" t="n">
        <f aca="false">COUNTIFS(Master_Photo_Sheet!$C$2:$C$494,B6)</f>
        <v>17</v>
      </c>
      <c r="I6" s="20" t="n">
        <f aca="false">COUNTIFS(Master_Photo_Sheet!$C$2:$C$494,B6,Master_Photo_Sheet!$K$2:$K$494,"Uploaded")</f>
        <v>0</v>
      </c>
      <c r="J6" s="21" t="n">
        <f aca="false">IF(H6-COUNTIFS(Master_Photo_Sheet!$C$2:$C$494,B6,Master_Photo_Sheet!$K$2:$K$494,"Not Applicable")=0,0,I6/(H6-COUNTIFS(Master_Photo_Sheet!$C$2:$C$494,B6,Master_Photo_Sheet!$K$2:$K$494,"Not Applicable")))</f>
        <v>0</v>
      </c>
    </row>
    <row r="7" customFormat="false" ht="15" hidden="false" customHeight="true" outlineLevel="0" collapsed="false">
      <c r="A7" s="18" t="s">
        <v>76</v>
      </c>
      <c r="B7" s="18" t="s">
        <v>111</v>
      </c>
      <c r="C7" s="18" t="s">
        <v>157</v>
      </c>
      <c r="D7" s="18" t="s">
        <v>158</v>
      </c>
      <c r="E7" s="18" t="s">
        <v>159</v>
      </c>
      <c r="F7" s="18" t="s">
        <v>160</v>
      </c>
      <c r="G7" s="20" t="n">
        <f aca="false">COUNTIFS(Model_List!$B$2:$B$171,B7)</f>
        <v>7</v>
      </c>
      <c r="H7" s="20" t="n">
        <f aca="false">COUNTIFS(Master_Photo_Sheet!$C$2:$C$494,B7)</f>
        <v>17</v>
      </c>
      <c r="I7" s="20" t="n">
        <f aca="false">COUNTIFS(Master_Photo_Sheet!$C$2:$C$494,B7,Master_Photo_Sheet!$K$2:$K$494,"Uploaded")</f>
        <v>0</v>
      </c>
      <c r="J7" s="21" t="n">
        <f aca="false">IF(H7-COUNTIFS(Master_Photo_Sheet!$C$2:$C$494,B7,Master_Photo_Sheet!$K$2:$K$494,"Not Applicable")=0,0,I7/(H7-COUNTIFS(Master_Photo_Sheet!$C$2:$C$494,B7,Master_Photo_Sheet!$K$2:$K$494,"Not Applicable")))</f>
        <v>0</v>
      </c>
    </row>
    <row r="8" customFormat="false" ht="25.5" hidden="false" customHeight="true" outlineLevel="0" collapsed="false">
      <c r="A8" s="18" t="s">
        <v>76</v>
      </c>
      <c r="B8" s="18" t="s">
        <v>112</v>
      </c>
      <c r="C8" s="18" t="s">
        <v>161</v>
      </c>
      <c r="D8" s="18" t="s">
        <v>162</v>
      </c>
      <c r="E8" s="18" t="s">
        <v>159</v>
      </c>
      <c r="F8" s="18" t="s">
        <v>163</v>
      </c>
      <c r="G8" s="20" t="n">
        <f aca="false">COUNTIFS(Model_List!$B$2:$B$171,B8)</f>
        <v>7</v>
      </c>
      <c r="H8" s="20" t="n">
        <f aca="false">COUNTIFS(Master_Photo_Sheet!$C$2:$C$494,B8)</f>
        <v>17</v>
      </c>
      <c r="I8" s="20" t="n">
        <f aca="false">COUNTIFS(Master_Photo_Sheet!$C$2:$C$494,B8,Master_Photo_Sheet!$K$2:$K$494,"Uploaded")</f>
        <v>0</v>
      </c>
      <c r="J8" s="21" t="n">
        <f aca="false">IF(H8-COUNTIFS(Master_Photo_Sheet!$C$2:$C$494,B8,Master_Photo_Sheet!$K$2:$K$494,"Not Applicable")=0,0,I8/(H8-COUNTIFS(Master_Photo_Sheet!$C$2:$C$494,B8,Master_Photo_Sheet!$K$2:$K$494,"Not Applicable")))</f>
        <v>0</v>
      </c>
    </row>
    <row r="9" customFormat="false" ht="51.75" hidden="false" customHeight="true" outlineLevel="0" collapsed="false">
      <c r="A9" s="18" t="s">
        <v>76</v>
      </c>
      <c r="B9" s="18" t="s">
        <v>113</v>
      </c>
      <c r="C9" s="18" t="s">
        <v>164</v>
      </c>
      <c r="D9" s="18" t="s">
        <v>165</v>
      </c>
      <c r="E9" s="18" t="s">
        <v>159</v>
      </c>
      <c r="F9" s="18" t="s">
        <v>166</v>
      </c>
      <c r="G9" s="20" t="n">
        <f aca="false">COUNTIFS(Model_List!$B$2:$B$171,B9)</f>
        <v>22</v>
      </c>
      <c r="H9" s="20" t="n">
        <f aca="false">COUNTIFS(Master_Photo_Sheet!$C$2:$C$494,B9)</f>
        <v>17</v>
      </c>
      <c r="I9" s="20" t="n">
        <f aca="false">COUNTIFS(Master_Photo_Sheet!$C$2:$C$494,B9,Master_Photo_Sheet!$K$2:$K$494,"Uploaded")</f>
        <v>0</v>
      </c>
      <c r="J9" s="21" t="n">
        <f aca="false">IF(H9-COUNTIFS(Master_Photo_Sheet!$C$2:$C$494,B9,Master_Photo_Sheet!$K$2:$K$494,"Not Applicable")=0,0,I9/(H9-COUNTIFS(Master_Photo_Sheet!$C$2:$C$494,B9,Master_Photo_Sheet!$K$2:$K$494,"Not Applicable")))</f>
        <v>0</v>
      </c>
    </row>
    <row r="10" customFormat="false" ht="15" hidden="false" customHeight="true" outlineLevel="0" collapsed="false">
      <c r="A10" s="18" t="s">
        <v>76</v>
      </c>
      <c r="B10" s="18" t="s">
        <v>114</v>
      </c>
      <c r="C10" s="18" t="s">
        <v>167</v>
      </c>
      <c r="D10" s="18" t="s">
        <v>168</v>
      </c>
      <c r="E10" s="18" t="s">
        <v>169</v>
      </c>
      <c r="F10" s="18" t="s">
        <v>170</v>
      </c>
      <c r="G10" s="20" t="n">
        <f aca="false">COUNTIFS(Model_List!$B$2:$B$171,B10)</f>
        <v>1</v>
      </c>
      <c r="H10" s="20" t="n">
        <f aca="false">COUNTIFS(Master_Photo_Sheet!$C$2:$C$494,B10)</f>
        <v>17</v>
      </c>
      <c r="I10" s="20" t="n">
        <f aca="false">COUNTIFS(Master_Photo_Sheet!$C$2:$C$494,B10,Master_Photo_Sheet!$K$2:$K$494,"Uploaded")</f>
        <v>0</v>
      </c>
      <c r="J10" s="21" t="n">
        <f aca="false">IF(H10-COUNTIFS(Master_Photo_Sheet!$C$2:$C$494,B10,Master_Photo_Sheet!$K$2:$K$494,"Not Applicable")=0,0,I10/(H10-COUNTIFS(Master_Photo_Sheet!$C$2:$C$494,B10,Master_Photo_Sheet!$K$2:$K$494,"Not Applicable")))</f>
        <v>0</v>
      </c>
    </row>
    <row r="11" customFormat="false" ht="15" hidden="false" customHeight="true" outlineLevel="0" collapsed="false">
      <c r="A11" s="18" t="s">
        <v>76</v>
      </c>
      <c r="B11" s="18" t="s">
        <v>115</v>
      </c>
      <c r="C11" s="18" t="s">
        <v>171</v>
      </c>
      <c r="D11" s="18" t="s">
        <v>172</v>
      </c>
      <c r="E11" s="18" t="s">
        <v>173</v>
      </c>
      <c r="F11" s="18" t="s">
        <v>174</v>
      </c>
      <c r="G11" s="20" t="n">
        <f aca="false">COUNTIFS(Model_List!$B$2:$B$171,B11)</f>
        <v>2</v>
      </c>
      <c r="H11" s="20" t="n">
        <f aca="false">COUNTIFS(Master_Photo_Sheet!$C$2:$C$494,B11)</f>
        <v>17</v>
      </c>
      <c r="I11" s="20" t="n">
        <f aca="false">COUNTIFS(Master_Photo_Sheet!$C$2:$C$494,B11,Master_Photo_Sheet!$K$2:$K$494,"Uploaded")</f>
        <v>0</v>
      </c>
      <c r="J11" s="21" t="n">
        <f aca="false">IF(H11-COUNTIFS(Master_Photo_Sheet!$C$2:$C$494,B11,Master_Photo_Sheet!$K$2:$K$494,"Not Applicable")=0,0,I11/(H11-COUNTIFS(Master_Photo_Sheet!$C$2:$C$494,B11,Master_Photo_Sheet!$K$2:$K$494,"Not Applicable")))</f>
        <v>0</v>
      </c>
    </row>
    <row r="12" customFormat="false" ht="15" hidden="false" customHeight="true" outlineLevel="0" collapsed="false">
      <c r="A12" s="18" t="s">
        <v>56</v>
      </c>
      <c r="B12" s="18" t="s">
        <v>57</v>
      </c>
      <c r="C12" s="18" t="s">
        <v>175</v>
      </c>
      <c r="D12" s="18" t="s">
        <v>176</v>
      </c>
      <c r="E12" s="18" t="s">
        <v>177</v>
      </c>
      <c r="F12" s="18" t="s">
        <v>178</v>
      </c>
      <c r="G12" s="20" t="n">
        <f aca="false">COUNTIFS(Model_List!$B$2:$B$171,B12)</f>
        <v>7</v>
      </c>
      <c r="H12" s="20" t="n">
        <f aca="false">COUNTIFS(Master_Photo_Sheet!$C$2:$C$494,B12)</f>
        <v>17</v>
      </c>
      <c r="I12" s="20" t="n">
        <f aca="false">COUNTIFS(Master_Photo_Sheet!$C$2:$C$494,B12,Master_Photo_Sheet!$K$2:$K$494,"Uploaded")</f>
        <v>0</v>
      </c>
      <c r="J12" s="21" t="n">
        <f aca="false">IF(H12-COUNTIFS(Master_Photo_Sheet!$C$2:$C$494,B12,Master_Photo_Sheet!$K$2:$K$494,"Not Applicable")=0,0,I12/(H12-COUNTIFS(Master_Photo_Sheet!$C$2:$C$494,B12,Master_Photo_Sheet!$K$2:$K$494,"Not Applicable")))</f>
        <v>0</v>
      </c>
    </row>
    <row r="13" customFormat="false" ht="15" hidden="false" customHeight="true" outlineLevel="0" collapsed="false">
      <c r="A13" s="18" t="s">
        <v>56</v>
      </c>
      <c r="B13" s="18" t="s">
        <v>116</v>
      </c>
      <c r="C13" s="18" t="s">
        <v>179</v>
      </c>
      <c r="D13" s="18" t="s">
        <v>180</v>
      </c>
      <c r="E13" s="18" t="s">
        <v>181</v>
      </c>
      <c r="F13" s="18" t="s">
        <v>182</v>
      </c>
      <c r="G13" s="20" t="n">
        <f aca="false">COUNTIFS(Model_List!$B$2:$B$171,B13)</f>
        <v>9</v>
      </c>
      <c r="H13" s="20" t="n">
        <f aca="false">COUNTIFS(Master_Photo_Sheet!$C$2:$C$494,B13)</f>
        <v>17</v>
      </c>
      <c r="I13" s="20" t="n">
        <f aca="false">COUNTIFS(Master_Photo_Sheet!$C$2:$C$494,B13,Master_Photo_Sheet!$K$2:$K$494,"Uploaded")</f>
        <v>0</v>
      </c>
      <c r="J13" s="21" t="n">
        <f aca="false">IF(H13-COUNTIFS(Master_Photo_Sheet!$C$2:$C$494,B13,Master_Photo_Sheet!$K$2:$K$494,"Not Applicable")=0,0,I13/(H13-COUNTIFS(Master_Photo_Sheet!$C$2:$C$494,B13,Master_Photo_Sheet!$K$2:$K$494,"Not Applicable")))</f>
        <v>0</v>
      </c>
    </row>
    <row r="14" customFormat="false" ht="15" hidden="false" customHeight="true" outlineLevel="0" collapsed="false">
      <c r="A14" s="18" t="s">
        <v>56</v>
      </c>
      <c r="B14" s="18" t="s">
        <v>117</v>
      </c>
      <c r="C14" s="18" t="s">
        <v>183</v>
      </c>
      <c r="D14" s="18" t="s">
        <v>184</v>
      </c>
      <c r="E14" s="18" t="s">
        <v>177</v>
      </c>
      <c r="F14" s="18" t="s">
        <v>185</v>
      </c>
      <c r="G14" s="20" t="n">
        <f aca="false">COUNTIFS(Model_List!$B$2:$B$171,B14)</f>
        <v>4</v>
      </c>
      <c r="H14" s="20" t="n">
        <f aca="false">COUNTIFS(Master_Photo_Sheet!$C$2:$C$494,B14)</f>
        <v>17</v>
      </c>
      <c r="I14" s="20" t="n">
        <f aca="false">COUNTIFS(Master_Photo_Sheet!$C$2:$C$494,B14,Master_Photo_Sheet!$K$2:$K$494,"Uploaded")</f>
        <v>0</v>
      </c>
      <c r="J14" s="21" t="n">
        <f aca="false">IF(H14-COUNTIFS(Master_Photo_Sheet!$C$2:$C$494,B14,Master_Photo_Sheet!$K$2:$K$494,"Not Applicable")=0,0,I14/(H14-COUNTIFS(Master_Photo_Sheet!$C$2:$C$494,B14,Master_Photo_Sheet!$K$2:$K$494,"Not Applicable")))</f>
        <v>0</v>
      </c>
    </row>
    <row r="15" customFormat="false" ht="15" hidden="false" customHeight="true" outlineLevel="0" collapsed="false">
      <c r="A15" s="18" t="s">
        <v>56</v>
      </c>
      <c r="B15" s="18" t="s">
        <v>118</v>
      </c>
      <c r="C15" s="18" t="s">
        <v>186</v>
      </c>
      <c r="D15" s="18" t="s">
        <v>187</v>
      </c>
      <c r="E15" s="18" t="s">
        <v>169</v>
      </c>
      <c r="F15" s="18" t="s">
        <v>188</v>
      </c>
      <c r="G15" s="20" t="n">
        <f aca="false">COUNTIFS(Model_List!$B$2:$B$171,B15)</f>
        <v>2</v>
      </c>
      <c r="H15" s="20" t="n">
        <f aca="false">COUNTIFS(Master_Photo_Sheet!$C$2:$C$494,B15)</f>
        <v>17</v>
      </c>
      <c r="I15" s="20" t="n">
        <f aca="false">COUNTIFS(Master_Photo_Sheet!$C$2:$C$494,B15,Master_Photo_Sheet!$K$2:$K$494,"Uploaded")</f>
        <v>0</v>
      </c>
      <c r="J15" s="21" t="n">
        <f aca="false">IF(H15-COUNTIFS(Master_Photo_Sheet!$C$2:$C$494,B15,Master_Photo_Sheet!$K$2:$K$494,"Not Applicable")=0,0,I15/(H15-COUNTIFS(Master_Photo_Sheet!$C$2:$C$494,B15,Master_Photo_Sheet!$K$2:$K$494,"Not Applicable")))</f>
        <v>0</v>
      </c>
    </row>
    <row r="16" customFormat="false" ht="15" hidden="false" customHeight="true" outlineLevel="0" collapsed="false">
      <c r="A16" s="18" t="s">
        <v>77</v>
      </c>
      <c r="B16" s="18" t="s">
        <v>119</v>
      </c>
      <c r="C16" s="18" t="s">
        <v>189</v>
      </c>
      <c r="D16" s="18" t="s">
        <v>190</v>
      </c>
      <c r="E16" s="18" t="s">
        <v>191</v>
      </c>
      <c r="F16" s="18" t="s">
        <v>192</v>
      </c>
      <c r="G16" s="20" t="n">
        <f aca="false">COUNTIFS(Model_List!$B$2:$B$171,B16)</f>
        <v>6</v>
      </c>
      <c r="H16" s="20" t="n">
        <f aca="false">COUNTIFS(Master_Photo_Sheet!$C$2:$C$494,B16)</f>
        <v>17</v>
      </c>
      <c r="I16" s="20" t="n">
        <f aca="false">COUNTIFS(Master_Photo_Sheet!$C$2:$C$494,B16,Master_Photo_Sheet!$K$2:$K$494,"Uploaded")</f>
        <v>0</v>
      </c>
      <c r="J16" s="21" t="n">
        <f aca="false">IF(H16-COUNTIFS(Master_Photo_Sheet!$C$2:$C$494,B16,Master_Photo_Sheet!$K$2:$K$494,"Not Applicable")=0,0,I16/(H16-COUNTIFS(Master_Photo_Sheet!$C$2:$C$494,B16,Master_Photo_Sheet!$K$2:$K$494,"Not Applicable")))</f>
        <v>0</v>
      </c>
    </row>
    <row r="17" customFormat="false" ht="15" hidden="false" customHeight="true" outlineLevel="0" collapsed="false">
      <c r="A17" s="18" t="s">
        <v>77</v>
      </c>
      <c r="B17" s="18" t="s">
        <v>120</v>
      </c>
      <c r="C17" s="18" t="s">
        <v>193</v>
      </c>
      <c r="D17" s="18" t="s">
        <v>194</v>
      </c>
      <c r="E17" s="18" t="s">
        <v>191</v>
      </c>
      <c r="F17" s="18" t="s">
        <v>195</v>
      </c>
      <c r="G17" s="20" t="n">
        <f aca="false">COUNTIFS(Model_List!$B$2:$B$171,B17)</f>
        <v>7</v>
      </c>
      <c r="H17" s="20" t="n">
        <f aca="false">COUNTIFS(Master_Photo_Sheet!$C$2:$C$494,B17)</f>
        <v>17</v>
      </c>
      <c r="I17" s="20" t="n">
        <f aca="false">COUNTIFS(Master_Photo_Sheet!$C$2:$C$494,B17,Master_Photo_Sheet!$K$2:$K$494,"Uploaded")</f>
        <v>0</v>
      </c>
      <c r="J17" s="21" t="n">
        <f aca="false">IF(H17-COUNTIFS(Master_Photo_Sheet!$C$2:$C$494,B17,Master_Photo_Sheet!$K$2:$K$494,"Not Applicable")=0,0,I17/(H17-COUNTIFS(Master_Photo_Sheet!$C$2:$C$494,B17,Master_Photo_Sheet!$K$2:$K$494,"Not Applicable")))</f>
        <v>0</v>
      </c>
    </row>
    <row r="18" customFormat="false" ht="15" hidden="false" customHeight="true" outlineLevel="0" collapsed="false">
      <c r="A18" s="18" t="s">
        <v>77</v>
      </c>
      <c r="B18" s="18" t="s">
        <v>121</v>
      </c>
      <c r="C18" s="18" t="s">
        <v>196</v>
      </c>
      <c r="D18" s="18" t="s">
        <v>197</v>
      </c>
      <c r="E18" s="18" t="s">
        <v>169</v>
      </c>
      <c r="F18" s="18" t="s">
        <v>198</v>
      </c>
      <c r="G18" s="20" t="n">
        <f aca="false">COUNTIFS(Model_List!$B$2:$B$171,B18)</f>
        <v>1</v>
      </c>
      <c r="H18" s="20" t="n">
        <f aca="false">COUNTIFS(Master_Photo_Sheet!$C$2:$C$494,B18)</f>
        <v>17</v>
      </c>
      <c r="I18" s="20" t="n">
        <f aca="false">COUNTIFS(Master_Photo_Sheet!$C$2:$C$494,B18,Master_Photo_Sheet!$K$2:$K$494,"Uploaded")</f>
        <v>0</v>
      </c>
      <c r="J18" s="21" t="n">
        <f aca="false">IF(H18-COUNTIFS(Master_Photo_Sheet!$C$2:$C$494,B18,Master_Photo_Sheet!$K$2:$K$494,"Not Applicable")=0,0,I18/(H18-COUNTIFS(Master_Photo_Sheet!$C$2:$C$494,B18,Master_Photo_Sheet!$K$2:$K$494,"Not Applicable")))</f>
        <v>0</v>
      </c>
    </row>
    <row r="19" customFormat="false" ht="15" hidden="false" customHeight="true" outlineLevel="0" collapsed="false">
      <c r="A19" s="18" t="s">
        <v>78</v>
      </c>
      <c r="B19" s="18" t="s">
        <v>122</v>
      </c>
      <c r="C19" s="18" t="s">
        <v>199</v>
      </c>
      <c r="D19" s="18" t="s">
        <v>200</v>
      </c>
      <c r="E19" s="18" t="s">
        <v>201</v>
      </c>
      <c r="F19" s="18" t="s">
        <v>202</v>
      </c>
      <c r="G19" s="20" t="n">
        <f aca="false">COUNTIFS(Model_List!$B$2:$B$171,B19)</f>
        <v>5</v>
      </c>
      <c r="H19" s="20" t="n">
        <f aca="false">COUNTIFS(Master_Photo_Sheet!$C$2:$C$494,B19)</f>
        <v>17</v>
      </c>
      <c r="I19" s="20" t="n">
        <f aca="false">COUNTIFS(Master_Photo_Sheet!$C$2:$C$494,B19,Master_Photo_Sheet!$K$2:$K$494,"Uploaded")</f>
        <v>0</v>
      </c>
      <c r="J19" s="21" t="n">
        <f aca="false">IF(H19-COUNTIFS(Master_Photo_Sheet!$C$2:$C$494,B19,Master_Photo_Sheet!$K$2:$K$494,"Not Applicable")=0,0,I19/(H19-COUNTIFS(Master_Photo_Sheet!$C$2:$C$494,B19,Master_Photo_Sheet!$K$2:$K$494,"Not Applicable")))</f>
        <v>0</v>
      </c>
    </row>
    <row r="20" customFormat="false" ht="15" hidden="false" customHeight="true" outlineLevel="0" collapsed="false">
      <c r="A20" s="18" t="s">
        <v>78</v>
      </c>
      <c r="B20" s="18" t="s">
        <v>123</v>
      </c>
      <c r="C20" s="18" t="s">
        <v>203</v>
      </c>
      <c r="D20" s="18" t="s">
        <v>204</v>
      </c>
      <c r="E20" s="18" t="s">
        <v>205</v>
      </c>
      <c r="F20" s="18" t="s">
        <v>206</v>
      </c>
      <c r="G20" s="20" t="n">
        <f aca="false">COUNTIFS(Model_List!$B$2:$B$171,B20)</f>
        <v>4</v>
      </c>
      <c r="H20" s="20" t="n">
        <f aca="false">COUNTIFS(Master_Photo_Sheet!$C$2:$C$494,B20)</f>
        <v>17</v>
      </c>
      <c r="I20" s="20" t="n">
        <f aca="false">COUNTIFS(Master_Photo_Sheet!$C$2:$C$494,B20,Master_Photo_Sheet!$K$2:$K$494,"Uploaded")</f>
        <v>0</v>
      </c>
      <c r="J20" s="21" t="n">
        <f aca="false">IF(H20-COUNTIFS(Master_Photo_Sheet!$C$2:$C$494,B20,Master_Photo_Sheet!$K$2:$K$494,"Not Applicable")=0,0,I20/(H20-COUNTIFS(Master_Photo_Sheet!$C$2:$C$494,B20,Master_Photo_Sheet!$K$2:$K$494,"Not Applicable")))</f>
        <v>0</v>
      </c>
    </row>
    <row r="21" customFormat="false" ht="15" hidden="false" customHeight="true" outlineLevel="0" collapsed="false">
      <c r="A21" s="18" t="s">
        <v>78</v>
      </c>
      <c r="B21" s="18" t="s">
        <v>124</v>
      </c>
      <c r="C21" s="18" t="s">
        <v>207</v>
      </c>
      <c r="D21" s="18" t="s">
        <v>208</v>
      </c>
      <c r="E21" s="18" t="s">
        <v>209</v>
      </c>
      <c r="F21" s="18" t="s">
        <v>210</v>
      </c>
      <c r="G21" s="20" t="n">
        <f aca="false">COUNTIFS(Model_List!$B$2:$B$171,B21)</f>
        <v>6</v>
      </c>
      <c r="H21" s="20" t="n">
        <f aca="false">COUNTIFS(Master_Photo_Sheet!$C$2:$C$494,B21)</f>
        <v>17</v>
      </c>
      <c r="I21" s="20" t="n">
        <f aca="false">COUNTIFS(Master_Photo_Sheet!$C$2:$C$494,B21,Master_Photo_Sheet!$K$2:$K$494,"Uploaded")</f>
        <v>0</v>
      </c>
      <c r="J21" s="21" t="n">
        <f aca="false">IF(H21-COUNTIFS(Master_Photo_Sheet!$C$2:$C$494,B21,Master_Photo_Sheet!$K$2:$K$494,"Not Applicable")=0,0,I21/(H21-COUNTIFS(Master_Photo_Sheet!$C$2:$C$494,B21,Master_Photo_Sheet!$K$2:$K$494,"Not Applicable")))</f>
        <v>0</v>
      </c>
    </row>
    <row r="22" customFormat="false" ht="15" hidden="false" customHeight="true" outlineLevel="0" collapsed="false">
      <c r="A22" s="18" t="s">
        <v>78</v>
      </c>
      <c r="B22" s="18" t="s">
        <v>125</v>
      </c>
      <c r="C22" s="18" t="s">
        <v>211</v>
      </c>
      <c r="D22" s="18" t="s">
        <v>212</v>
      </c>
      <c r="E22" s="18" t="s">
        <v>213</v>
      </c>
      <c r="F22" s="18" t="s">
        <v>214</v>
      </c>
      <c r="G22" s="20" t="n">
        <f aca="false">COUNTIFS(Model_List!$B$2:$B$171,B22)</f>
        <v>6</v>
      </c>
      <c r="H22" s="20" t="n">
        <f aca="false">COUNTIFS(Master_Photo_Sheet!$C$2:$C$494,B22)</f>
        <v>17</v>
      </c>
      <c r="I22" s="20" t="n">
        <f aca="false">COUNTIFS(Master_Photo_Sheet!$C$2:$C$494,B22,Master_Photo_Sheet!$K$2:$K$494,"Uploaded")</f>
        <v>0</v>
      </c>
      <c r="J22" s="21" t="n">
        <f aca="false">IF(H22-COUNTIFS(Master_Photo_Sheet!$C$2:$C$494,B22,Master_Photo_Sheet!$K$2:$K$494,"Not Applicable")=0,0,I22/(H22-COUNTIFS(Master_Photo_Sheet!$C$2:$C$494,B22,Master_Photo_Sheet!$K$2:$K$494,"Not Applicable")))</f>
        <v>0</v>
      </c>
    </row>
    <row r="23" customFormat="false" ht="15" hidden="false" customHeight="true" outlineLevel="0" collapsed="false">
      <c r="A23" s="18" t="s">
        <v>78</v>
      </c>
      <c r="B23" s="18" t="s">
        <v>126</v>
      </c>
      <c r="C23" s="18" t="s">
        <v>215</v>
      </c>
      <c r="D23" s="18" t="s">
        <v>216</v>
      </c>
      <c r="E23" s="18" t="s">
        <v>217</v>
      </c>
      <c r="F23" s="18" t="s">
        <v>218</v>
      </c>
      <c r="G23" s="20" t="n">
        <f aca="false">COUNTIFS(Model_List!$B$2:$B$171,B23)</f>
        <v>9</v>
      </c>
      <c r="H23" s="20" t="n">
        <f aca="false">COUNTIFS(Master_Photo_Sheet!$C$2:$C$494,B23)</f>
        <v>17</v>
      </c>
      <c r="I23" s="20" t="n">
        <f aca="false">COUNTIFS(Master_Photo_Sheet!$C$2:$C$494,B23,Master_Photo_Sheet!$K$2:$K$494,"Uploaded")</f>
        <v>0</v>
      </c>
      <c r="J23" s="21" t="n">
        <f aca="false">IF(H23-COUNTIFS(Master_Photo_Sheet!$C$2:$C$494,B23,Master_Photo_Sheet!$K$2:$K$494,"Not Applicable")=0,0,I23/(H23-COUNTIFS(Master_Photo_Sheet!$C$2:$C$494,B23,Master_Photo_Sheet!$K$2:$K$494,"Not Applicable")))</f>
        <v>0</v>
      </c>
    </row>
    <row r="24" customFormat="false" ht="15" hidden="false" customHeight="true" outlineLevel="0" collapsed="false">
      <c r="A24" s="18" t="s">
        <v>78</v>
      </c>
      <c r="B24" s="18" t="s">
        <v>127</v>
      </c>
      <c r="C24" s="18" t="s">
        <v>219</v>
      </c>
      <c r="D24" s="18" t="s">
        <v>220</v>
      </c>
      <c r="E24" s="18" t="s">
        <v>169</v>
      </c>
      <c r="F24" s="18" t="s">
        <v>221</v>
      </c>
      <c r="G24" s="20" t="n">
        <f aca="false">COUNTIFS(Model_List!$B$2:$B$171,B24)</f>
        <v>3</v>
      </c>
      <c r="H24" s="20" t="n">
        <f aca="false">COUNTIFS(Master_Photo_Sheet!$C$2:$C$494,B24)</f>
        <v>17</v>
      </c>
      <c r="I24" s="20" t="n">
        <f aca="false">COUNTIFS(Master_Photo_Sheet!$C$2:$C$494,B24,Master_Photo_Sheet!$K$2:$K$494,"Uploaded")</f>
        <v>0</v>
      </c>
      <c r="J24" s="21" t="n">
        <f aca="false">IF(H24-COUNTIFS(Master_Photo_Sheet!$C$2:$C$494,B24,Master_Photo_Sheet!$K$2:$K$494,"Not Applicable")=0,0,I24/(H24-COUNTIFS(Master_Photo_Sheet!$C$2:$C$494,B24,Master_Photo_Sheet!$K$2:$K$494,"Not Applicable")))</f>
        <v>0</v>
      </c>
    </row>
    <row r="25" customFormat="false" ht="15" hidden="false" customHeight="true" outlineLevel="0" collapsed="false">
      <c r="A25" s="18" t="s">
        <v>78</v>
      </c>
      <c r="B25" s="18" t="s">
        <v>128</v>
      </c>
      <c r="C25" s="18" t="s">
        <v>222</v>
      </c>
      <c r="D25" s="18" t="s">
        <v>223</v>
      </c>
      <c r="E25" s="18" t="s">
        <v>169</v>
      </c>
      <c r="F25" s="18" t="s">
        <v>224</v>
      </c>
      <c r="G25" s="20" t="n">
        <f aca="false">COUNTIFS(Model_List!$B$2:$B$171,B25)</f>
        <v>6</v>
      </c>
      <c r="H25" s="20" t="n">
        <f aca="false">COUNTIFS(Master_Photo_Sheet!$C$2:$C$494,B25)</f>
        <v>17</v>
      </c>
      <c r="I25" s="20" t="n">
        <f aca="false">COUNTIFS(Master_Photo_Sheet!$C$2:$C$494,B25,Master_Photo_Sheet!$K$2:$K$494,"Uploaded")</f>
        <v>0</v>
      </c>
      <c r="J25" s="21" t="n">
        <f aca="false">IF(H25-COUNTIFS(Master_Photo_Sheet!$C$2:$C$494,B25,Master_Photo_Sheet!$K$2:$K$494,"Not Applicable")=0,0,I25/(H25-COUNTIFS(Master_Photo_Sheet!$C$2:$C$494,B25,Master_Photo_Sheet!$K$2:$K$494,"Not Applicable")))</f>
        <v>0</v>
      </c>
    </row>
    <row r="26" customFormat="false" ht="15" hidden="false" customHeight="true" outlineLevel="0" collapsed="false">
      <c r="A26" s="18" t="s">
        <v>78</v>
      </c>
      <c r="B26" s="18" t="s">
        <v>129</v>
      </c>
      <c r="C26" s="18" t="s">
        <v>225</v>
      </c>
      <c r="D26" s="18" t="s">
        <v>226</v>
      </c>
      <c r="E26" s="18" t="s">
        <v>169</v>
      </c>
      <c r="F26" s="18" t="s">
        <v>227</v>
      </c>
      <c r="G26" s="20" t="n">
        <f aca="false">COUNTIFS(Model_List!$B$2:$B$171,B26)</f>
        <v>2</v>
      </c>
      <c r="H26" s="20" t="n">
        <f aca="false">COUNTIFS(Master_Photo_Sheet!$C$2:$C$494,B26)</f>
        <v>17</v>
      </c>
      <c r="I26" s="20" t="n">
        <f aca="false">COUNTIFS(Master_Photo_Sheet!$C$2:$C$494,B26,Master_Photo_Sheet!$K$2:$K$494,"Uploaded")</f>
        <v>0</v>
      </c>
      <c r="J26" s="21" t="n">
        <f aca="false">IF(H26-COUNTIFS(Master_Photo_Sheet!$C$2:$C$494,B26,Master_Photo_Sheet!$K$2:$K$494,"Not Applicable")=0,0,I26/(H26-COUNTIFS(Master_Photo_Sheet!$C$2:$C$494,B26,Master_Photo_Sheet!$K$2:$K$494,"Not Applicable")))</f>
        <v>0</v>
      </c>
    </row>
    <row r="27" customFormat="false" ht="15" hidden="false" customHeight="true" outlineLevel="0" collapsed="false">
      <c r="A27" s="18" t="s">
        <v>79</v>
      </c>
      <c r="B27" s="18" t="s">
        <v>130</v>
      </c>
      <c r="C27" s="18" t="s">
        <v>228</v>
      </c>
      <c r="D27" s="18" t="s">
        <v>229</v>
      </c>
      <c r="E27" s="18" t="s">
        <v>230</v>
      </c>
      <c r="F27" s="18" t="s">
        <v>231</v>
      </c>
      <c r="G27" s="20" t="n">
        <f aca="false">COUNTIFS(Model_List!$B$2:$B$171,B27)</f>
        <v>8</v>
      </c>
      <c r="H27" s="20" t="n">
        <f aca="false">COUNTIFS(Master_Photo_Sheet!$C$2:$C$494,B27)</f>
        <v>17</v>
      </c>
      <c r="I27" s="20" t="n">
        <f aca="false">COUNTIFS(Master_Photo_Sheet!$C$2:$C$494,B27,Master_Photo_Sheet!$K$2:$K$494,"Uploaded")</f>
        <v>0</v>
      </c>
      <c r="J27" s="21" t="n">
        <f aca="false">IF(H27-COUNTIFS(Master_Photo_Sheet!$C$2:$C$494,B27,Master_Photo_Sheet!$K$2:$K$494,"Not Applicable")=0,0,I27/(H27-COUNTIFS(Master_Photo_Sheet!$C$2:$C$494,B27,Master_Photo_Sheet!$K$2:$K$494,"Not Applicable")))</f>
        <v>0</v>
      </c>
    </row>
    <row r="28" customFormat="false" ht="15" hidden="false" customHeight="true" outlineLevel="0" collapsed="false">
      <c r="A28" s="18" t="s">
        <v>79</v>
      </c>
      <c r="B28" s="18" t="s">
        <v>131</v>
      </c>
      <c r="C28" s="18" t="s">
        <v>232</v>
      </c>
      <c r="D28" s="18" t="s">
        <v>233</v>
      </c>
      <c r="E28" s="18" t="s">
        <v>230</v>
      </c>
      <c r="F28" s="18" t="s">
        <v>234</v>
      </c>
      <c r="G28" s="20" t="n">
        <f aca="false">COUNTIFS(Model_List!$B$2:$B$171,B28)</f>
        <v>4</v>
      </c>
      <c r="H28" s="20" t="n">
        <f aca="false">COUNTIFS(Master_Photo_Sheet!$C$2:$C$494,B28)</f>
        <v>17</v>
      </c>
      <c r="I28" s="20" t="n">
        <f aca="false">COUNTIFS(Master_Photo_Sheet!$C$2:$C$494,B28,Master_Photo_Sheet!$K$2:$K$494,"Uploaded")</f>
        <v>0</v>
      </c>
      <c r="J28" s="21" t="n">
        <f aca="false">IF(H28-COUNTIFS(Master_Photo_Sheet!$C$2:$C$494,B28,Master_Photo_Sheet!$K$2:$K$494,"Not Applicable")=0,0,I28/(H28-COUNTIFS(Master_Photo_Sheet!$C$2:$C$494,B28,Master_Photo_Sheet!$K$2:$K$494,"Not Applicable")))</f>
        <v>0</v>
      </c>
    </row>
    <row r="29" customFormat="false" ht="15" hidden="false" customHeight="true" outlineLevel="0" collapsed="false">
      <c r="A29" s="18" t="s">
        <v>79</v>
      </c>
      <c r="B29" s="18" t="s">
        <v>132</v>
      </c>
      <c r="C29" s="18" t="s">
        <v>235</v>
      </c>
      <c r="D29" s="18" t="s">
        <v>236</v>
      </c>
      <c r="E29" s="18" t="s">
        <v>230</v>
      </c>
      <c r="F29" s="18" t="s">
        <v>237</v>
      </c>
      <c r="G29" s="20" t="n">
        <f aca="false">COUNTIFS(Model_List!$B$2:$B$171,B29)</f>
        <v>6</v>
      </c>
      <c r="H29" s="20" t="n">
        <f aca="false">COUNTIFS(Master_Photo_Sheet!$C$2:$C$494,B29)</f>
        <v>17</v>
      </c>
      <c r="I29" s="20" t="n">
        <f aca="false">COUNTIFS(Master_Photo_Sheet!$C$2:$C$494,B29,Master_Photo_Sheet!$K$2:$K$494,"Uploaded")</f>
        <v>0</v>
      </c>
      <c r="J29" s="21" t="n">
        <f aca="false">IF(H29-COUNTIFS(Master_Photo_Sheet!$C$2:$C$494,B29,Master_Photo_Sheet!$K$2:$K$494,"Not Applicable")=0,0,I29/(H29-COUNTIFS(Master_Photo_Sheet!$C$2:$C$494,B29,Master_Photo_Sheet!$K$2:$K$494,"Not Applicable")))</f>
        <v>0</v>
      </c>
    </row>
    <row r="30" customFormat="false" ht="15" hidden="false" customHeight="true" outlineLevel="0" collapsed="false">
      <c r="A30" s="18" t="s">
        <v>79</v>
      </c>
      <c r="B30" s="18" t="s">
        <v>133</v>
      </c>
      <c r="C30" s="18" t="s">
        <v>238</v>
      </c>
      <c r="D30" s="18" t="s">
        <v>239</v>
      </c>
      <c r="E30" s="18" t="s">
        <v>230</v>
      </c>
      <c r="F30" s="18" t="s">
        <v>240</v>
      </c>
      <c r="G30" s="20" t="n">
        <f aca="false">COUNTIFS(Model_List!$B$2:$B$171,B30)</f>
        <v>1</v>
      </c>
      <c r="H30" s="20" t="n">
        <f aca="false">COUNTIFS(Master_Photo_Sheet!$C$2:$C$494,B30)</f>
        <v>17</v>
      </c>
      <c r="I30" s="20" t="n">
        <f aca="false">COUNTIFS(Master_Photo_Sheet!$C$2:$C$494,B30,Master_Photo_Sheet!$K$2:$K$494,"Uploaded")</f>
        <v>0</v>
      </c>
      <c r="J30" s="21" t="n">
        <f aca="false">IF(H30-COUNTIFS(Master_Photo_Sheet!$C$2:$C$494,B30,Master_Photo_Sheet!$K$2:$K$494,"Not Applicable")=0,0,I30/(H30-COUNTIFS(Master_Photo_Sheet!$C$2:$C$494,B30,Master_Photo_Sheet!$K$2:$K$494,"Not Applicable")))</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7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34"/>
    <col collapsed="false" customWidth="true" hidden="false" outlineLevel="0" max="3" min="3" style="0" width="28"/>
    <col collapsed="false" customWidth="true" hidden="false" outlineLevel="0" max="4" min="4" style="0" width="11"/>
    <col collapsed="false" customWidth="true" hidden="false" outlineLevel="0" max="5" min="5" style="0" width="32"/>
    <col collapsed="false" customWidth="true" hidden="false" outlineLevel="0" max="6" min="6" style="0" width="62"/>
  </cols>
  <sheetData>
    <row r="1" customFormat="false" ht="15" hidden="false" customHeight="false" outlineLevel="0" collapsed="false">
      <c r="A1" s="8" t="s">
        <v>47</v>
      </c>
      <c r="B1" s="8" t="s">
        <v>7</v>
      </c>
      <c r="C1" s="8" t="s">
        <v>241</v>
      </c>
      <c r="D1" s="8" t="s">
        <v>242</v>
      </c>
      <c r="E1" s="8" t="s">
        <v>243</v>
      </c>
      <c r="F1" s="8" t="s">
        <v>244</v>
      </c>
    </row>
    <row r="2" customFormat="false" ht="15" hidden="false" customHeight="false" outlineLevel="0" collapsed="false">
      <c r="A2" s="9" t="s">
        <v>75</v>
      </c>
      <c r="B2" s="9" t="s">
        <v>90</v>
      </c>
      <c r="C2" s="9" t="s">
        <v>245</v>
      </c>
      <c r="D2" s="9" t="n">
        <v>4</v>
      </c>
      <c r="E2" s="9" t="s">
        <v>246</v>
      </c>
      <c r="F2" s="9" t="s">
        <v>247</v>
      </c>
    </row>
    <row r="3" customFormat="false" ht="15" hidden="false" customHeight="false" outlineLevel="0" collapsed="false">
      <c r="A3" s="9" t="s">
        <v>75</v>
      </c>
      <c r="B3" s="9" t="s">
        <v>90</v>
      </c>
      <c r="C3" s="9" t="s">
        <v>248</v>
      </c>
      <c r="D3" s="9" t="n">
        <v>6</v>
      </c>
      <c r="E3" s="9" t="s">
        <v>246</v>
      </c>
      <c r="F3" s="9" t="s">
        <v>247</v>
      </c>
    </row>
    <row r="4" customFormat="false" ht="15" hidden="false" customHeight="false" outlineLevel="0" collapsed="false">
      <c r="A4" s="9" t="s">
        <v>75</v>
      </c>
      <c r="B4" s="9" t="s">
        <v>90</v>
      </c>
      <c r="C4" s="9" t="s">
        <v>249</v>
      </c>
      <c r="D4" s="9" t="n">
        <v>8</v>
      </c>
      <c r="E4" s="9" t="s">
        <v>246</v>
      </c>
      <c r="F4" s="9" t="s">
        <v>247</v>
      </c>
    </row>
    <row r="5" customFormat="false" ht="15" hidden="false" customHeight="false" outlineLevel="0" collapsed="false">
      <c r="A5" s="9" t="s">
        <v>75</v>
      </c>
      <c r="B5" s="9" t="s">
        <v>90</v>
      </c>
      <c r="C5" s="9" t="s">
        <v>250</v>
      </c>
      <c r="D5" s="9" t="n">
        <v>4</v>
      </c>
      <c r="E5" s="9" t="s">
        <v>246</v>
      </c>
      <c r="F5" s="9" t="s">
        <v>247</v>
      </c>
    </row>
    <row r="6" customFormat="false" ht="15" hidden="false" customHeight="false" outlineLevel="0" collapsed="false">
      <c r="A6" s="9" t="s">
        <v>75</v>
      </c>
      <c r="B6" s="9" t="s">
        <v>90</v>
      </c>
      <c r="C6" s="9" t="s">
        <v>251</v>
      </c>
      <c r="D6" s="9" t="n">
        <v>6</v>
      </c>
      <c r="E6" s="9" t="s">
        <v>246</v>
      </c>
      <c r="F6" s="9" t="s">
        <v>247</v>
      </c>
    </row>
    <row r="7" customFormat="false" ht="15" hidden="false" customHeight="false" outlineLevel="0" collapsed="false">
      <c r="A7" s="9" t="s">
        <v>75</v>
      </c>
      <c r="B7" s="9" t="s">
        <v>90</v>
      </c>
      <c r="C7" s="9" t="s">
        <v>252</v>
      </c>
      <c r="D7" s="9"/>
      <c r="E7" s="9" t="s">
        <v>246</v>
      </c>
      <c r="F7" s="9" t="s">
        <v>253</v>
      </c>
    </row>
    <row r="8" customFormat="false" ht="15" hidden="false" customHeight="false" outlineLevel="0" collapsed="false">
      <c r="A8" s="9" t="s">
        <v>75</v>
      </c>
      <c r="B8" s="9" t="s">
        <v>107</v>
      </c>
      <c r="C8" s="9" t="s">
        <v>254</v>
      </c>
      <c r="D8" s="9"/>
      <c r="E8" s="9" t="s">
        <v>246</v>
      </c>
      <c r="F8" s="9" t="s">
        <v>255</v>
      </c>
    </row>
    <row r="9" customFormat="false" ht="15" hidden="false" customHeight="false" outlineLevel="0" collapsed="false">
      <c r="A9" s="9" t="s">
        <v>75</v>
      </c>
      <c r="B9" s="9" t="s">
        <v>107</v>
      </c>
      <c r="C9" s="9" t="s">
        <v>256</v>
      </c>
      <c r="D9" s="9"/>
      <c r="E9" s="9" t="s">
        <v>246</v>
      </c>
      <c r="F9" s="9" t="s">
        <v>255</v>
      </c>
    </row>
    <row r="10" customFormat="false" ht="15" hidden="false" customHeight="false" outlineLevel="0" collapsed="false">
      <c r="A10" s="9" t="s">
        <v>75</v>
      </c>
      <c r="B10" s="9" t="s">
        <v>107</v>
      </c>
      <c r="C10" s="9" t="s">
        <v>257</v>
      </c>
      <c r="D10" s="9"/>
      <c r="E10" s="9" t="s">
        <v>246</v>
      </c>
      <c r="F10" s="9" t="s">
        <v>255</v>
      </c>
    </row>
    <row r="11" customFormat="false" ht="15" hidden="false" customHeight="false" outlineLevel="0" collapsed="false">
      <c r="A11" s="9" t="s">
        <v>75</v>
      </c>
      <c r="B11" s="9" t="s">
        <v>107</v>
      </c>
      <c r="C11" s="9" t="s">
        <v>258</v>
      </c>
      <c r="D11" s="9"/>
      <c r="E11" s="9" t="s">
        <v>246</v>
      </c>
      <c r="F11" s="9" t="s">
        <v>255</v>
      </c>
    </row>
    <row r="12" customFormat="false" ht="15" hidden="false" customHeight="false" outlineLevel="0" collapsed="false">
      <c r="A12" s="9" t="s">
        <v>75</v>
      </c>
      <c r="B12" s="9" t="s">
        <v>107</v>
      </c>
      <c r="C12" s="9" t="s">
        <v>259</v>
      </c>
      <c r="D12" s="9"/>
      <c r="E12" s="9" t="s">
        <v>260</v>
      </c>
      <c r="F12" s="9" t="s">
        <v>261</v>
      </c>
    </row>
    <row r="13" customFormat="false" ht="15" hidden="false" customHeight="false" outlineLevel="0" collapsed="false">
      <c r="A13" s="9" t="s">
        <v>75</v>
      </c>
      <c r="B13" s="9" t="s">
        <v>108</v>
      </c>
      <c r="C13" s="9" t="s">
        <v>262</v>
      </c>
      <c r="D13" s="9" t="n">
        <v>3</v>
      </c>
      <c r="E13" s="9" t="s">
        <v>260</v>
      </c>
      <c r="F13" s="9" t="s">
        <v>263</v>
      </c>
    </row>
    <row r="14" customFormat="false" ht="15" hidden="false" customHeight="false" outlineLevel="0" collapsed="false">
      <c r="A14" s="9" t="s">
        <v>75</v>
      </c>
      <c r="B14" s="9" t="s">
        <v>108</v>
      </c>
      <c r="C14" s="9" t="s">
        <v>264</v>
      </c>
      <c r="D14" s="9" t="n">
        <v>4</v>
      </c>
      <c r="E14" s="9" t="s">
        <v>246</v>
      </c>
      <c r="F14" s="9" t="s">
        <v>265</v>
      </c>
    </row>
    <row r="15" customFormat="false" ht="15" hidden="false" customHeight="false" outlineLevel="0" collapsed="false">
      <c r="A15" s="9" t="s">
        <v>75</v>
      </c>
      <c r="B15" s="9" t="s">
        <v>108</v>
      </c>
      <c r="C15" s="9" t="s">
        <v>266</v>
      </c>
      <c r="D15" s="9" t="n">
        <v>5</v>
      </c>
      <c r="E15" s="9" t="s">
        <v>246</v>
      </c>
      <c r="F15" s="9" t="s">
        <v>265</v>
      </c>
    </row>
    <row r="16" customFormat="false" ht="15" hidden="false" customHeight="false" outlineLevel="0" collapsed="false">
      <c r="A16" s="9" t="s">
        <v>75</v>
      </c>
      <c r="B16" s="9" t="s">
        <v>108</v>
      </c>
      <c r="C16" s="9" t="s">
        <v>267</v>
      </c>
      <c r="D16" s="9" t="n">
        <v>6</v>
      </c>
      <c r="E16" s="9" t="s">
        <v>246</v>
      </c>
      <c r="F16" s="9" t="s">
        <v>265</v>
      </c>
    </row>
    <row r="17" customFormat="false" ht="15" hidden="false" customHeight="false" outlineLevel="0" collapsed="false">
      <c r="A17" s="9" t="s">
        <v>75</v>
      </c>
      <c r="B17" s="9" t="s">
        <v>109</v>
      </c>
      <c r="C17" s="9" t="s">
        <v>268</v>
      </c>
      <c r="D17" s="9" t="n">
        <v>2</v>
      </c>
      <c r="E17" s="9" t="s">
        <v>269</v>
      </c>
      <c r="F17" s="9" t="s">
        <v>270</v>
      </c>
    </row>
    <row r="18" customFormat="false" ht="15" hidden="false" customHeight="false" outlineLevel="0" collapsed="false">
      <c r="A18" s="9" t="s">
        <v>75</v>
      </c>
      <c r="B18" s="9" t="s">
        <v>109</v>
      </c>
      <c r="C18" s="9" t="s">
        <v>271</v>
      </c>
      <c r="D18" s="9"/>
      <c r="E18" s="9" t="s">
        <v>269</v>
      </c>
      <c r="F18" s="9" t="s">
        <v>270</v>
      </c>
    </row>
    <row r="19" customFormat="false" ht="15" hidden="false" customHeight="false" outlineLevel="0" collapsed="false">
      <c r="A19" s="9" t="s">
        <v>75</v>
      </c>
      <c r="B19" s="9" t="s">
        <v>109</v>
      </c>
      <c r="C19" s="9" t="s">
        <v>272</v>
      </c>
      <c r="D19" s="9" t="n">
        <v>6</v>
      </c>
      <c r="E19" s="9" t="s">
        <v>269</v>
      </c>
      <c r="F19" s="9" t="s">
        <v>270</v>
      </c>
    </row>
    <row r="20" customFormat="false" ht="15" hidden="false" customHeight="false" outlineLevel="0" collapsed="false">
      <c r="A20" s="9" t="s">
        <v>75</v>
      </c>
      <c r="B20" s="9" t="s">
        <v>109</v>
      </c>
      <c r="C20" s="9" t="s">
        <v>273</v>
      </c>
      <c r="D20" s="9"/>
      <c r="E20" s="9" t="s">
        <v>269</v>
      </c>
      <c r="F20" s="9" t="s">
        <v>270</v>
      </c>
    </row>
    <row r="21" customFormat="false" ht="15" hidden="false" customHeight="false" outlineLevel="0" collapsed="false">
      <c r="A21" s="9" t="s">
        <v>75</v>
      </c>
      <c r="B21" s="9" t="s">
        <v>110</v>
      </c>
      <c r="C21" s="9" t="s">
        <v>274</v>
      </c>
      <c r="D21" s="9"/>
      <c r="E21" s="9" t="s">
        <v>269</v>
      </c>
      <c r="F21" s="9" t="s">
        <v>275</v>
      </c>
    </row>
    <row r="22" customFormat="false" ht="15" hidden="false" customHeight="false" outlineLevel="0" collapsed="false">
      <c r="A22" s="9" t="s">
        <v>75</v>
      </c>
      <c r="B22" s="9" t="s">
        <v>110</v>
      </c>
      <c r="C22" s="9" t="s">
        <v>276</v>
      </c>
      <c r="D22" s="9"/>
      <c r="E22" s="9" t="s">
        <v>269</v>
      </c>
      <c r="F22" s="9" t="s">
        <v>275</v>
      </c>
    </row>
    <row r="23" customFormat="false" ht="15" hidden="false" customHeight="false" outlineLevel="0" collapsed="false">
      <c r="A23" s="9" t="s">
        <v>75</v>
      </c>
      <c r="B23" s="9" t="s">
        <v>110</v>
      </c>
      <c r="C23" s="9" t="s">
        <v>277</v>
      </c>
      <c r="D23" s="9"/>
      <c r="E23" s="9" t="s">
        <v>269</v>
      </c>
      <c r="F23" s="9" t="s">
        <v>275</v>
      </c>
    </row>
    <row r="24" customFormat="false" ht="15" hidden="false" customHeight="false" outlineLevel="0" collapsed="false">
      <c r="A24" s="9" t="s">
        <v>75</v>
      </c>
      <c r="B24" s="9" t="s">
        <v>110</v>
      </c>
      <c r="C24" s="9" t="s">
        <v>278</v>
      </c>
      <c r="D24" s="9"/>
      <c r="E24" s="9" t="s">
        <v>269</v>
      </c>
      <c r="F24" s="9" t="s">
        <v>275</v>
      </c>
    </row>
    <row r="25" customFormat="false" ht="15" hidden="false" customHeight="false" outlineLevel="0" collapsed="false">
      <c r="A25" s="9" t="s">
        <v>75</v>
      </c>
      <c r="B25" s="9" t="s">
        <v>110</v>
      </c>
      <c r="C25" s="9" t="s">
        <v>279</v>
      </c>
      <c r="D25" s="9"/>
      <c r="E25" s="9" t="s">
        <v>269</v>
      </c>
      <c r="F25" s="9" t="s">
        <v>275</v>
      </c>
    </row>
    <row r="26" customFormat="false" ht="15" hidden="false" customHeight="false" outlineLevel="0" collapsed="false">
      <c r="A26" s="9" t="s">
        <v>75</v>
      </c>
      <c r="B26" s="9" t="s">
        <v>110</v>
      </c>
      <c r="C26" s="9" t="s">
        <v>280</v>
      </c>
      <c r="D26" s="9"/>
      <c r="E26" s="9" t="s">
        <v>269</v>
      </c>
      <c r="F26" s="9" t="s">
        <v>275</v>
      </c>
    </row>
    <row r="27" customFormat="false" ht="15" hidden="false" customHeight="false" outlineLevel="0" collapsed="false">
      <c r="A27" s="9" t="s">
        <v>75</v>
      </c>
      <c r="B27" s="9" t="s">
        <v>110</v>
      </c>
      <c r="C27" s="9" t="s">
        <v>281</v>
      </c>
      <c r="D27" s="9"/>
      <c r="E27" s="9" t="s">
        <v>269</v>
      </c>
      <c r="F27" s="9" t="s">
        <v>275</v>
      </c>
    </row>
    <row r="28" customFormat="false" ht="15" hidden="false" customHeight="false" outlineLevel="0" collapsed="false">
      <c r="A28" s="9" t="s">
        <v>75</v>
      </c>
      <c r="B28" s="9" t="s">
        <v>110</v>
      </c>
      <c r="C28" s="9" t="s">
        <v>282</v>
      </c>
      <c r="D28" s="9"/>
      <c r="E28" s="9" t="s">
        <v>269</v>
      </c>
      <c r="F28" s="9" t="s">
        <v>275</v>
      </c>
    </row>
    <row r="29" customFormat="false" ht="15" hidden="false" customHeight="false" outlineLevel="0" collapsed="false">
      <c r="A29" s="9" t="s">
        <v>75</v>
      </c>
      <c r="B29" s="9" t="s">
        <v>110</v>
      </c>
      <c r="C29" s="9" t="s">
        <v>283</v>
      </c>
      <c r="D29" s="9"/>
      <c r="E29" s="9" t="s">
        <v>269</v>
      </c>
      <c r="F29" s="9" t="s">
        <v>275</v>
      </c>
    </row>
    <row r="30" customFormat="false" ht="15" hidden="false" customHeight="false" outlineLevel="0" collapsed="false">
      <c r="A30" s="9" t="s">
        <v>75</v>
      </c>
      <c r="B30" s="9" t="s">
        <v>110</v>
      </c>
      <c r="C30" s="9" t="s">
        <v>284</v>
      </c>
      <c r="D30" s="9"/>
      <c r="E30" s="9" t="s">
        <v>269</v>
      </c>
      <c r="F30" s="9" t="s">
        <v>275</v>
      </c>
    </row>
    <row r="31" customFormat="false" ht="15" hidden="false" customHeight="false" outlineLevel="0" collapsed="false">
      <c r="A31" s="9" t="s">
        <v>75</v>
      </c>
      <c r="B31" s="9" t="s">
        <v>110</v>
      </c>
      <c r="C31" s="9" t="s">
        <v>285</v>
      </c>
      <c r="D31" s="9"/>
      <c r="E31" s="9" t="s">
        <v>269</v>
      </c>
      <c r="F31" s="9" t="s">
        <v>275</v>
      </c>
    </row>
    <row r="32" customFormat="false" ht="15" hidden="false" customHeight="false" outlineLevel="0" collapsed="false">
      <c r="A32" s="9" t="s">
        <v>75</v>
      </c>
      <c r="B32" s="9" t="s">
        <v>110</v>
      </c>
      <c r="C32" s="9" t="s">
        <v>286</v>
      </c>
      <c r="D32" s="9"/>
      <c r="E32" s="9" t="s">
        <v>269</v>
      </c>
      <c r="F32" s="9" t="s">
        <v>275</v>
      </c>
    </row>
    <row r="33" customFormat="false" ht="15" hidden="false" customHeight="false" outlineLevel="0" collapsed="false">
      <c r="A33" s="9" t="s">
        <v>75</v>
      </c>
      <c r="B33" s="9" t="s">
        <v>110</v>
      </c>
      <c r="C33" s="9" t="s">
        <v>287</v>
      </c>
      <c r="D33" s="9"/>
      <c r="E33" s="9" t="s">
        <v>269</v>
      </c>
      <c r="F33" s="9" t="s">
        <v>275</v>
      </c>
    </row>
    <row r="34" customFormat="false" ht="15" hidden="false" customHeight="false" outlineLevel="0" collapsed="false">
      <c r="A34" s="9" t="s">
        <v>75</v>
      </c>
      <c r="B34" s="9" t="s">
        <v>110</v>
      </c>
      <c r="C34" s="9" t="s">
        <v>288</v>
      </c>
      <c r="D34" s="9"/>
      <c r="E34" s="9" t="s">
        <v>269</v>
      </c>
      <c r="F34" s="9" t="s">
        <v>275</v>
      </c>
    </row>
    <row r="35" customFormat="false" ht="15" hidden="false" customHeight="false" outlineLevel="0" collapsed="false">
      <c r="A35" s="9" t="s">
        <v>75</v>
      </c>
      <c r="B35" s="9" t="s">
        <v>110</v>
      </c>
      <c r="C35" s="9" t="s">
        <v>289</v>
      </c>
      <c r="D35" s="9"/>
      <c r="E35" s="9" t="s">
        <v>269</v>
      </c>
      <c r="F35" s="9" t="s">
        <v>275</v>
      </c>
    </row>
    <row r="36" customFormat="false" ht="15" hidden="false" customHeight="false" outlineLevel="0" collapsed="false">
      <c r="A36" s="9" t="s">
        <v>75</v>
      </c>
      <c r="B36" s="9" t="s">
        <v>110</v>
      </c>
      <c r="C36" s="9" t="s">
        <v>290</v>
      </c>
      <c r="D36" s="9"/>
      <c r="E36" s="9" t="s">
        <v>269</v>
      </c>
      <c r="F36" s="9" t="s">
        <v>275</v>
      </c>
    </row>
    <row r="37" customFormat="false" ht="15" hidden="false" customHeight="false" outlineLevel="0" collapsed="false">
      <c r="A37" s="9" t="s">
        <v>76</v>
      </c>
      <c r="B37" s="9" t="s">
        <v>111</v>
      </c>
      <c r="C37" s="9" t="s">
        <v>291</v>
      </c>
      <c r="D37" s="9"/>
      <c r="E37" s="9" t="s">
        <v>269</v>
      </c>
      <c r="F37" s="9" t="s">
        <v>292</v>
      </c>
    </row>
    <row r="38" customFormat="false" ht="15" hidden="false" customHeight="false" outlineLevel="0" collapsed="false">
      <c r="A38" s="9" t="s">
        <v>76</v>
      </c>
      <c r="B38" s="9" t="s">
        <v>111</v>
      </c>
      <c r="C38" s="9" t="s">
        <v>293</v>
      </c>
      <c r="D38" s="9"/>
      <c r="E38" s="9" t="s">
        <v>269</v>
      </c>
      <c r="F38" s="9" t="s">
        <v>292</v>
      </c>
    </row>
    <row r="39" customFormat="false" ht="15" hidden="false" customHeight="false" outlineLevel="0" collapsed="false">
      <c r="A39" s="9" t="s">
        <v>76</v>
      </c>
      <c r="B39" s="9" t="s">
        <v>111</v>
      </c>
      <c r="C39" s="9" t="s">
        <v>294</v>
      </c>
      <c r="D39" s="9"/>
      <c r="E39" s="9" t="s">
        <v>269</v>
      </c>
      <c r="F39" s="9" t="s">
        <v>292</v>
      </c>
    </row>
    <row r="40" customFormat="false" ht="15" hidden="false" customHeight="false" outlineLevel="0" collapsed="false">
      <c r="A40" s="9" t="s">
        <v>76</v>
      </c>
      <c r="B40" s="9" t="s">
        <v>111</v>
      </c>
      <c r="C40" s="9" t="s">
        <v>295</v>
      </c>
      <c r="D40" s="9"/>
      <c r="E40" s="9" t="s">
        <v>269</v>
      </c>
      <c r="F40" s="9" t="s">
        <v>292</v>
      </c>
    </row>
    <row r="41" customFormat="false" ht="15" hidden="false" customHeight="false" outlineLevel="0" collapsed="false">
      <c r="A41" s="9" t="s">
        <v>76</v>
      </c>
      <c r="B41" s="9" t="s">
        <v>111</v>
      </c>
      <c r="C41" s="9" t="s">
        <v>296</v>
      </c>
      <c r="D41" s="9"/>
      <c r="E41" s="9" t="s">
        <v>269</v>
      </c>
      <c r="F41" s="9" t="s">
        <v>292</v>
      </c>
    </row>
    <row r="42" customFormat="false" ht="15" hidden="false" customHeight="false" outlineLevel="0" collapsed="false">
      <c r="A42" s="9" t="s">
        <v>76</v>
      </c>
      <c r="B42" s="9" t="s">
        <v>111</v>
      </c>
      <c r="C42" s="9" t="s">
        <v>297</v>
      </c>
      <c r="D42" s="9"/>
      <c r="E42" s="9" t="s">
        <v>269</v>
      </c>
      <c r="F42" s="9" t="s">
        <v>292</v>
      </c>
    </row>
    <row r="43" customFormat="false" ht="15" hidden="false" customHeight="false" outlineLevel="0" collapsed="false">
      <c r="A43" s="9" t="s">
        <v>76</v>
      </c>
      <c r="B43" s="9" t="s">
        <v>111</v>
      </c>
      <c r="C43" s="9" t="s">
        <v>298</v>
      </c>
      <c r="D43" s="9"/>
      <c r="E43" s="9" t="s">
        <v>269</v>
      </c>
      <c r="F43" s="9" t="s">
        <v>292</v>
      </c>
    </row>
    <row r="44" customFormat="false" ht="15" hidden="false" customHeight="false" outlineLevel="0" collapsed="false">
      <c r="A44" s="9" t="s">
        <v>76</v>
      </c>
      <c r="B44" s="9" t="s">
        <v>112</v>
      </c>
      <c r="C44" s="9" t="s">
        <v>299</v>
      </c>
      <c r="D44" s="9" t="n">
        <v>2</v>
      </c>
      <c r="E44" s="9" t="s">
        <v>269</v>
      </c>
      <c r="F44" s="9" t="s">
        <v>300</v>
      </c>
    </row>
    <row r="45" customFormat="false" ht="15" hidden="false" customHeight="false" outlineLevel="0" collapsed="false">
      <c r="A45" s="9" t="s">
        <v>76</v>
      </c>
      <c r="B45" s="9" t="s">
        <v>112</v>
      </c>
      <c r="C45" s="9" t="s">
        <v>301</v>
      </c>
      <c r="D45" s="9" t="n">
        <v>3</v>
      </c>
      <c r="E45" s="9" t="s">
        <v>269</v>
      </c>
      <c r="F45" s="9" t="s">
        <v>300</v>
      </c>
    </row>
    <row r="46" customFormat="false" ht="15" hidden="false" customHeight="false" outlineLevel="0" collapsed="false">
      <c r="A46" s="9" t="s">
        <v>76</v>
      </c>
      <c r="B46" s="9" t="s">
        <v>112</v>
      </c>
      <c r="C46" s="9" t="s">
        <v>302</v>
      </c>
      <c r="D46" s="9" t="n">
        <v>4</v>
      </c>
      <c r="E46" s="9" t="s">
        <v>269</v>
      </c>
      <c r="F46" s="9" t="s">
        <v>300</v>
      </c>
    </row>
    <row r="47" customFormat="false" ht="15" hidden="false" customHeight="false" outlineLevel="0" collapsed="false">
      <c r="A47" s="9" t="s">
        <v>76</v>
      </c>
      <c r="B47" s="9" t="s">
        <v>112</v>
      </c>
      <c r="C47" s="9" t="s">
        <v>303</v>
      </c>
      <c r="D47" s="9" t="n">
        <v>6</v>
      </c>
      <c r="E47" s="9" t="s">
        <v>269</v>
      </c>
      <c r="F47" s="9" t="s">
        <v>300</v>
      </c>
    </row>
    <row r="48" customFormat="false" ht="15" hidden="false" customHeight="false" outlineLevel="0" collapsed="false">
      <c r="A48" s="9" t="s">
        <v>76</v>
      </c>
      <c r="B48" s="9" t="s">
        <v>112</v>
      </c>
      <c r="C48" s="9" t="s">
        <v>304</v>
      </c>
      <c r="D48" s="9" t="n">
        <v>8</v>
      </c>
      <c r="E48" s="9" t="s">
        <v>269</v>
      </c>
      <c r="F48" s="9" t="s">
        <v>300</v>
      </c>
    </row>
    <row r="49" customFormat="false" ht="15" hidden="false" customHeight="false" outlineLevel="0" collapsed="false">
      <c r="A49" s="9" t="s">
        <v>76</v>
      </c>
      <c r="B49" s="9" t="s">
        <v>112</v>
      </c>
      <c r="C49" s="9" t="s">
        <v>305</v>
      </c>
      <c r="D49" s="9" t="n">
        <v>10</v>
      </c>
      <c r="E49" s="9" t="s">
        <v>269</v>
      </c>
      <c r="F49" s="9" t="s">
        <v>300</v>
      </c>
    </row>
    <row r="50" customFormat="false" ht="15" hidden="false" customHeight="false" outlineLevel="0" collapsed="false">
      <c r="A50" s="9" t="s">
        <v>76</v>
      </c>
      <c r="B50" s="9" t="s">
        <v>112</v>
      </c>
      <c r="C50" s="9" t="s">
        <v>306</v>
      </c>
      <c r="D50" s="9" t="n">
        <v>8</v>
      </c>
      <c r="E50" s="9" t="s">
        <v>269</v>
      </c>
      <c r="F50" s="9" t="s">
        <v>307</v>
      </c>
    </row>
    <row r="51" customFormat="false" ht="15" hidden="false" customHeight="false" outlineLevel="0" collapsed="false">
      <c r="A51" s="9" t="s">
        <v>76</v>
      </c>
      <c r="B51" s="9" t="s">
        <v>113</v>
      </c>
      <c r="C51" s="9" t="s">
        <v>308</v>
      </c>
      <c r="D51" s="9" t="n">
        <v>4</v>
      </c>
      <c r="E51" s="9" t="s">
        <v>269</v>
      </c>
      <c r="F51" s="9" t="s">
        <v>309</v>
      </c>
    </row>
    <row r="52" customFormat="false" ht="15" hidden="false" customHeight="false" outlineLevel="0" collapsed="false">
      <c r="A52" s="9" t="s">
        <v>76</v>
      </c>
      <c r="B52" s="9" t="s">
        <v>113</v>
      </c>
      <c r="C52" s="9" t="s">
        <v>310</v>
      </c>
      <c r="D52" s="9" t="n">
        <v>4</v>
      </c>
      <c r="E52" s="9" t="s">
        <v>269</v>
      </c>
      <c r="F52" s="9" t="s">
        <v>309</v>
      </c>
    </row>
    <row r="53" customFormat="false" ht="15" hidden="false" customHeight="false" outlineLevel="0" collapsed="false">
      <c r="A53" s="9" t="s">
        <v>76</v>
      </c>
      <c r="B53" s="9" t="s">
        <v>113</v>
      </c>
      <c r="C53" s="9" t="s">
        <v>311</v>
      </c>
      <c r="D53" s="9" t="n">
        <v>4</v>
      </c>
      <c r="E53" s="9" t="s">
        <v>260</v>
      </c>
      <c r="F53" s="9" t="s">
        <v>312</v>
      </c>
    </row>
    <row r="54" customFormat="false" ht="15" hidden="false" customHeight="false" outlineLevel="0" collapsed="false">
      <c r="A54" s="9" t="s">
        <v>76</v>
      </c>
      <c r="B54" s="9" t="s">
        <v>113</v>
      </c>
      <c r="C54" s="9" t="s">
        <v>313</v>
      </c>
      <c r="D54" s="9" t="n">
        <v>6</v>
      </c>
      <c r="E54" s="9" t="s">
        <v>269</v>
      </c>
      <c r="F54" s="9" t="s">
        <v>309</v>
      </c>
    </row>
    <row r="55" customFormat="false" ht="15" hidden="false" customHeight="false" outlineLevel="0" collapsed="false">
      <c r="A55" s="9" t="s">
        <v>76</v>
      </c>
      <c r="B55" s="9" t="s">
        <v>113</v>
      </c>
      <c r="C55" s="9" t="s">
        <v>314</v>
      </c>
      <c r="D55" s="9" t="n">
        <v>6</v>
      </c>
      <c r="E55" s="9" t="s">
        <v>269</v>
      </c>
      <c r="F55" s="9" t="s">
        <v>309</v>
      </c>
    </row>
    <row r="56" customFormat="false" ht="15" hidden="false" customHeight="false" outlineLevel="0" collapsed="false">
      <c r="A56" s="9" t="s">
        <v>76</v>
      </c>
      <c r="B56" s="9" t="s">
        <v>113</v>
      </c>
      <c r="C56" s="9" t="s">
        <v>315</v>
      </c>
      <c r="D56" s="9" t="n">
        <v>6</v>
      </c>
      <c r="E56" s="9" t="s">
        <v>269</v>
      </c>
      <c r="F56" s="9" t="s">
        <v>309</v>
      </c>
    </row>
    <row r="57" customFormat="false" ht="15" hidden="false" customHeight="false" outlineLevel="0" collapsed="false">
      <c r="A57" s="9" t="s">
        <v>76</v>
      </c>
      <c r="B57" s="9" t="s">
        <v>113</v>
      </c>
      <c r="C57" s="9" t="s">
        <v>316</v>
      </c>
      <c r="D57" s="9" t="n">
        <v>8</v>
      </c>
      <c r="E57" s="9" t="s">
        <v>269</v>
      </c>
      <c r="F57" s="9" t="s">
        <v>309</v>
      </c>
    </row>
    <row r="58" customFormat="false" ht="15" hidden="false" customHeight="false" outlineLevel="0" collapsed="false">
      <c r="A58" s="9" t="s">
        <v>76</v>
      </c>
      <c r="B58" s="9" t="s">
        <v>113</v>
      </c>
      <c r="C58" s="9" t="s">
        <v>317</v>
      </c>
      <c r="D58" s="9" t="n">
        <v>8</v>
      </c>
      <c r="E58" s="9" t="s">
        <v>269</v>
      </c>
      <c r="F58" s="9" t="s">
        <v>309</v>
      </c>
    </row>
    <row r="59" customFormat="false" ht="15" hidden="false" customHeight="false" outlineLevel="0" collapsed="false">
      <c r="A59" s="9" t="s">
        <v>76</v>
      </c>
      <c r="B59" s="9" t="s">
        <v>113</v>
      </c>
      <c r="C59" s="9" t="s">
        <v>318</v>
      </c>
      <c r="D59" s="9" t="n">
        <v>8</v>
      </c>
      <c r="E59" s="9" t="s">
        <v>269</v>
      </c>
      <c r="F59" s="9" t="s">
        <v>309</v>
      </c>
    </row>
    <row r="60" customFormat="false" ht="15" hidden="false" customHeight="false" outlineLevel="0" collapsed="false">
      <c r="A60" s="9" t="s">
        <v>76</v>
      </c>
      <c r="B60" s="9" t="s">
        <v>113</v>
      </c>
      <c r="C60" s="9" t="s">
        <v>319</v>
      </c>
      <c r="D60" s="9" t="n">
        <v>12</v>
      </c>
      <c r="E60" s="9" t="s">
        <v>269</v>
      </c>
      <c r="F60" s="9" t="s">
        <v>309</v>
      </c>
    </row>
    <row r="61" customFormat="false" ht="15" hidden="false" customHeight="false" outlineLevel="0" collapsed="false">
      <c r="A61" s="9" t="s">
        <v>76</v>
      </c>
      <c r="B61" s="9" t="s">
        <v>113</v>
      </c>
      <c r="C61" s="9" t="s">
        <v>320</v>
      </c>
      <c r="D61" s="9" t="n">
        <v>12</v>
      </c>
      <c r="E61" s="9" t="s">
        <v>269</v>
      </c>
      <c r="F61" s="9" t="s">
        <v>309</v>
      </c>
    </row>
    <row r="62" customFormat="false" ht="15" hidden="false" customHeight="false" outlineLevel="0" collapsed="false">
      <c r="A62" s="9" t="s">
        <v>76</v>
      </c>
      <c r="B62" s="9" t="s">
        <v>113</v>
      </c>
      <c r="C62" s="9" t="s">
        <v>321</v>
      </c>
      <c r="D62" s="9" t="n">
        <v>12</v>
      </c>
      <c r="E62" s="9" t="s">
        <v>260</v>
      </c>
      <c r="F62" s="9" t="s">
        <v>312</v>
      </c>
    </row>
    <row r="63" customFormat="false" ht="15" hidden="false" customHeight="false" outlineLevel="0" collapsed="false">
      <c r="A63" s="9" t="s">
        <v>76</v>
      </c>
      <c r="B63" s="9" t="s">
        <v>113</v>
      </c>
      <c r="C63" s="9" t="s">
        <v>322</v>
      </c>
      <c r="D63" s="9" t="n">
        <v>16</v>
      </c>
      <c r="E63" s="9" t="s">
        <v>269</v>
      </c>
      <c r="F63" s="9" t="s">
        <v>309</v>
      </c>
    </row>
    <row r="64" customFormat="false" ht="15" hidden="false" customHeight="false" outlineLevel="0" collapsed="false">
      <c r="A64" s="9" t="s">
        <v>76</v>
      </c>
      <c r="B64" s="9" t="s">
        <v>113</v>
      </c>
      <c r="C64" s="9" t="s">
        <v>323</v>
      </c>
      <c r="D64" s="9" t="n">
        <v>16</v>
      </c>
      <c r="E64" s="9" t="s">
        <v>269</v>
      </c>
      <c r="F64" s="9" t="s">
        <v>309</v>
      </c>
    </row>
    <row r="65" customFormat="false" ht="15" hidden="false" customHeight="false" outlineLevel="0" collapsed="false">
      <c r="A65" s="9" t="s">
        <v>76</v>
      </c>
      <c r="B65" s="9" t="s">
        <v>113</v>
      </c>
      <c r="C65" s="9" t="s">
        <v>324</v>
      </c>
      <c r="D65" s="9" t="n">
        <v>16</v>
      </c>
      <c r="E65" s="9" t="s">
        <v>260</v>
      </c>
      <c r="F65" s="9" t="s">
        <v>312</v>
      </c>
    </row>
    <row r="66" customFormat="false" ht="15" hidden="false" customHeight="false" outlineLevel="0" collapsed="false">
      <c r="A66" s="9" t="s">
        <v>76</v>
      </c>
      <c r="B66" s="9" t="s">
        <v>113</v>
      </c>
      <c r="C66" s="9" t="s">
        <v>325</v>
      </c>
      <c r="D66" s="9" t="n">
        <v>4</v>
      </c>
      <c r="E66" s="9" t="s">
        <v>269</v>
      </c>
      <c r="F66" s="9" t="s">
        <v>300</v>
      </c>
    </row>
    <row r="67" customFormat="false" ht="15" hidden="false" customHeight="false" outlineLevel="0" collapsed="false">
      <c r="A67" s="9" t="s">
        <v>76</v>
      </c>
      <c r="B67" s="9" t="s">
        <v>113</v>
      </c>
      <c r="C67" s="9" t="s">
        <v>326</v>
      </c>
      <c r="D67" s="9" t="n">
        <v>6</v>
      </c>
      <c r="E67" s="9" t="s">
        <v>269</v>
      </c>
      <c r="F67" s="9" t="s">
        <v>300</v>
      </c>
    </row>
    <row r="68" customFormat="false" ht="15" hidden="false" customHeight="false" outlineLevel="0" collapsed="false">
      <c r="A68" s="9" t="s">
        <v>76</v>
      </c>
      <c r="B68" s="9" t="s">
        <v>113</v>
      </c>
      <c r="C68" s="9" t="s">
        <v>327</v>
      </c>
      <c r="D68" s="9" t="n">
        <v>8</v>
      </c>
      <c r="E68" s="9" t="s">
        <v>269</v>
      </c>
      <c r="F68" s="9" t="s">
        <v>300</v>
      </c>
    </row>
    <row r="69" customFormat="false" ht="15" hidden="false" customHeight="false" outlineLevel="0" collapsed="false">
      <c r="A69" s="9" t="s">
        <v>76</v>
      </c>
      <c r="B69" s="9" t="s">
        <v>113</v>
      </c>
      <c r="C69" s="9" t="s">
        <v>328</v>
      </c>
      <c r="D69" s="9"/>
      <c r="E69" s="9" t="s">
        <v>269</v>
      </c>
      <c r="F69" s="9" t="s">
        <v>329</v>
      </c>
    </row>
    <row r="70" customFormat="false" ht="15" hidden="false" customHeight="false" outlineLevel="0" collapsed="false">
      <c r="A70" s="9" t="s">
        <v>76</v>
      </c>
      <c r="B70" s="9" t="s">
        <v>113</v>
      </c>
      <c r="C70" s="9" t="s">
        <v>330</v>
      </c>
      <c r="D70" s="9"/>
      <c r="E70" s="9" t="s">
        <v>269</v>
      </c>
      <c r="F70" s="9" t="s">
        <v>329</v>
      </c>
    </row>
    <row r="71" customFormat="false" ht="15" hidden="false" customHeight="false" outlineLevel="0" collapsed="false">
      <c r="A71" s="9" t="s">
        <v>76</v>
      </c>
      <c r="B71" s="9" t="s">
        <v>113</v>
      </c>
      <c r="C71" s="9" t="s">
        <v>331</v>
      </c>
      <c r="D71" s="9"/>
      <c r="E71" s="9" t="s">
        <v>269</v>
      </c>
      <c r="F71" s="9" t="s">
        <v>329</v>
      </c>
    </row>
    <row r="72" customFormat="false" ht="15" hidden="false" customHeight="false" outlineLevel="0" collapsed="false">
      <c r="A72" s="9" t="s">
        <v>76</v>
      </c>
      <c r="B72" s="9" t="s">
        <v>113</v>
      </c>
      <c r="C72" s="9" t="s">
        <v>332</v>
      </c>
      <c r="D72" s="9"/>
      <c r="E72" s="9" t="s">
        <v>269</v>
      </c>
      <c r="F72" s="9" t="s">
        <v>329</v>
      </c>
    </row>
    <row r="73" customFormat="false" ht="15" hidden="false" customHeight="false" outlineLevel="0" collapsed="false">
      <c r="A73" s="9" t="s">
        <v>76</v>
      </c>
      <c r="B73" s="9" t="s">
        <v>114</v>
      </c>
      <c r="C73" s="9" t="s">
        <v>170</v>
      </c>
      <c r="D73" s="9"/>
      <c r="E73" s="9" t="s">
        <v>260</v>
      </c>
      <c r="F73" s="9" t="s">
        <v>333</v>
      </c>
    </row>
    <row r="74" customFormat="false" ht="15" hidden="false" customHeight="false" outlineLevel="0" collapsed="false">
      <c r="A74" s="9" t="s">
        <v>76</v>
      </c>
      <c r="B74" s="9" t="s">
        <v>115</v>
      </c>
      <c r="C74" s="9" t="s">
        <v>334</v>
      </c>
      <c r="D74" s="9"/>
      <c r="E74" s="9" t="s">
        <v>269</v>
      </c>
      <c r="F74" s="9" t="s">
        <v>335</v>
      </c>
    </row>
    <row r="75" customFormat="false" ht="15" hidden="false" customHeight="false" outlineLevel="0" collapsed="false">
      <c r="A75" s="9" t="s">
        <v>76</v>
      </c>
      <c r="B75" s="9" t="s">
        <v>115</v>
      </c>
      <c r="C75" s="9" t="s">
        <v>336</v>
      </c>
      <c r="D75" s="9"/>
      <c r="E75" s="9" t="s">
        <v>260</v>
      </c>
      <c r="F75" s="9" t="s">
        <v>337</v>
      </c>
    </row>
    <row r="76" customFormat="false" ht="15" hidden="false" customHeight="false" outlineLevel="0" collapsed="false">
      <c r="A76" s="9" t="s">
        <v>56</v>
      </c>
      <c r="B76" s="9" t="s">
        <v>57</v>
      </c>
      <c r="C76" s="9" t="s">
        <v>338</v>
      </c>
      <c r="D76" s="9" t="n">
        <v>2</v>
      </c>
      <c r="E76" s="9" t="s">
        <v>269</v>
      </c>
      <c r="F76" s="9" t="s">
        <v>339</v>
      </c>
    </row>
    <row r="77" customFormat="false" ht="15" hidden="false" customHeight="false" outlineLevel="0" collapsed="false">
      <c r="A77" s="9" t="s">
        <v>56</v>
      </c>
      <c r="B77" s="9" t="s">
        <v>57</v>
      </c>
      <c r="C77" s="9" t="s">
        <v>340</v>
      </c>
      <c r="D77" s="9" t="n">
        <v>3</v>
      </c>
      <c r="E77" s="9" t="s">
        <v>269</v>
      </c>
      <c r="F77" s="9" t="s">
        <v>339</v>
      </c>
    </row>
    <row r="78" customFormat="false" ht="15" hidden="false" customHeight="false" outlineLevel="0" collapsed="false">
      <c r="A78" s="9" t="s">
        <v>56</v>
      </c>
      <c r="B78" s="9" t="s">
        <v>57</v>
      </c>
      <c r="C78" s="9" t="s">
        <v>341</v>
      </c>
      <c r="D78" s="9" t="n">
        <v>4</v>
      </c>
      <c r="E78" s="9" t="s">
        <v>269</v>
      </c>
      <c r="F78" s="9" t="s">
        <v>339</v>
      </c>
    </row>
    <row r="79" customFormat="false" ht="15" hidden="false" customHeight="false" outlineLevel="0" collapsed="false">
      <c r="A79" s="9" t="s">
        <v>56</v>
      </c>
      <c r="B79" s="9" t="s">
        <v>57</v>
      </c>
      <c r="C79" s="9" t="s">
        <v>342</v>
      </c>
      <c r="D79" s="9" t="n">
        <v>6</v>
      </c>
      <c r="E79" s="9" t="s">
        <v>269</v>
      </c>
      <c r="F79" s="9" t="s">
        <v>339</v>
      </c>
    </row>
    <row r="80" customFormat="false" ht="15" hidden="false" customHeight="false" outlineLevel="0" collapsed="false">
      <c r="A80" s="9" t="s">
        <v>56</v>
      </c>
      <c r="B80" s="9" t="s">
        <v>57</v>
      </c>
      <c r="C80" s="9" t="s">
        <v>343</v>
      </c>
      <c r="D80" s="9" t="n">
        <v>9</v>
      </c>
      <c r="E80" s="9" t="s">
        <v>269</v>
      </c>
      <c r="F80" s="9" t="s">
        <v>339</v>
      </c>
    </row>
    <row r="81" customFormat="false" ht="15" hidden="false" customHeight="false" outlineLevel="0" collapsed="false">
      <c r="A81" s="9" t="s">
        <v>56</v>
      </c>
      <c r="B81" s="9" t="s">
        <v>57</v>
      </c>
      <c r="C81" s="9" t="s">
        <v>344</v>
      </c>
      <c r="D81" s="9" t="n">
        <v>12</v>
      </c>
      <c r="E81" s="9" t="s">
        <v>269</v>
      </c>
      <c r="F81" s="9" t="s">
        <v>339</v>
      </c>
    </row>
    <row r="82" customFormat="false" ht="15" hidden="false" customHeight="false" outlineLevel="0" collapsed="false">
      <c r="A82" s="9" t="s">
        <v>56</v>
      </c>
      <c r="B82" s="9" t="s">
        <v>57</v>
      </c>
      <c r="C82" s="9" t="s">
        <v>345</v>
      </c>
      <c r="D82" s="9" t="n">
        <v>5</v>
      </c>
      <c r="E82" s="9" t="s">
        <v>260</v>
      </c>
      <c r="F82" s="9" t="s">
        <v>346</v>
      </c>
    </row>
    <row r="83" customFormat="false" ht="15" hidden="false" customHeight="false" outlineLevel="0" collapsed="false">
      <c r="A83" s="9" t="s">
        <v>56</v>
      </c>
      <c r="B83" s="9" t="s">
        <v>116</v>
      </c>
      <c r="C83" s="9" t="s">
        <v>347</v>
      </c>
      <c r="D83" s="9" t="n">
        <v>3</v>
      </c>
      <c r="E83" s="9" t="s">
        <v>269</v>
      </c>
      <c r="F83" s="9" t="s">
        <v>348</v>
      </c>
    </row>
    <row r="84" customFormat="false" ht="15" hidden="false" customHeight="false" outlineLevel="0" collapsed="false">
      <c r="A84" s="9" t="s">
        <v>56</v>
      </c>
      <c r="B84" s="9" t="s">
        <v>116</v>
      </c>
      <c r="C84" s="9" t="s">
        <v>349</v>
      </c>
      <c r="D84" s="9" t="n">
        <v>4</v>
      </c>
      <c r="E84" s="9" t="s">
        <v>269</v>
      </c>
      <c r="F84" s="9" t="s">
        <v>348</v>
      </c>
    </row>
    <row r="85" customFormat="false" ht="15" hidden="false" customHeight="false" outlineLevel="0" collapsed="false">
      <c r="A85" s="9" t="s">
        <v>56</v>
      </c>
      <c r="B85" s="9" t="s">
        <v>116</v>
      </c>
      <c r="C85" s="9" t="s">
        <v>350</v>
      </c>
      <c r="D85" s="9" t="n">
        <v>6</v>
      </c>
      <c r="E85" s="9" t="s">
        <v>269</v>
      </c>
      <c r="F85" s="9" t="s">
        <v>348</v>
      </c>
    </row>
    <row r="86" customFormat="false" ht="15" hidden="false" customHeight="false" outlineLevel="0" collapsed="false">
      <c r="A86" s="9" t="s">
        <v>56</v>
      </c>
      <c r="B86" s="9" t="s">
        <v>116</v>
      </c>
      <c r="C86" s="9" t="s">
        <v>351</v>
      </c>
      <c r="D86" s="9" t="n">
        <v>6</v>
      </c>
      <c r="E86" s="9" t="s">
        <v>269</v>
      </c>
      <c r="F86" s="9" t="s">
        <v>348</v>
      </c>
    </row>
    <row r="87" customFormat="false" ht="15" hidden="false" customHeight="false" outlineLevel="0" collapsed="false">
      <c r="A87" s="9" t="s">
        <v>56</v>
      </c>
      <c r="B87" s="9" t="s">
        <v>116</v>
      </c>
      <c r="C87" s="9" t="s">
        <v>352</v>
      </c>
      <c r="D87" s="9" t="n">
        <v>9</v>
      </c>
      <c r="E87" s="9" t="s">
        <v>269</v>
      </c>
      <c r="F87" s="9" t="s">
        <v>348</v>
      </c>
    </row>
    <row r="88" customFormat="false" ht="15" hidden="false" customHeight="false" outlineLevel="0" collapsed="false">
      <c r="A88" s="9" t="s">
        <v>56</v>
      </c>
      <c r="B88" s="9" t="s">
        <v>116</v>
      </c>
      <c r="C88" s="9" t="s">
        <v>353</v>
      </c>
      <c r="D88" s="9" t="n">
        <v>9</v>
      </c>
      <c r="E88" s="9" t="s">
        <v>269</v>
      </c>
      <c r="F88" s="9" t="s">
        <v>348</v>
      </c>
    </row>
    <row r="89" customFormat="false" ht="15" hidden="false" customHeight="false" outlineLevel="0" collapsed="false">
      <c r="A89" s="9" t="s">
        <v>56</v>
      </c>
      <c r="B89" s="9" t="s">
        <v>116</v>
      </c>
      <c r="C89" s="9" t="s">
        <v>354</v>
      </c>
      <c r="D89" s="9" t="n">
        <v>12</v>
      </c>
      <c r="E89" s="9" t="s">
        <v>269</v>
      </c>
      <c r="F89" s="9" t="s">
        <v>348</v>
      </c>
    </row>
    <row r="90" customFormat="false" ht="15" hidden="false" customHeight="false" outlineLevel="0" collapsed="false">
      <c r="A90" s="9" t="s">
        <v>56</v>
      </c>
      <c r="B90" s="9" t="s">
        <v>116</v>
      </c>
      <c r="C90" s="9" t="s">
        <v>355</v>
      </c>
      <c r="D90" s="9" t="n">
        <v>12</v>
      </c>
      <c r="E90" s="9" t="s">
        <v>269</v>
      </c>
      <c r="F90" s="9" t="s">
        <v>348</v>
      </c>
    </row>
    <row r="91" customFormat="false" ht="15" hidden="false" customHeight="false" outlineLevel="0" collapsed="false">
      <c r="A91" s="9" t="s">
        <v>56</v>
      </c>
      <c r="B91" s="9" t="s">
        <v>116</v>
      </c>
      <c r="C91" s="9" t="s">
        <v>356</v>
      </c>
      <c r="D91" s="9" t="n">
        <v>12</v>
      </c>
      <c r="E91" s="9" t="s">
        <v>269</v>
      </c>
      <c r="F91" s="9" t="s">
        <v>348</v>
      </c>
    </row>
    <row r="92" customFormat="false" ht="15" hidden="false" customHeight="false" outlineLevel="0" collapsed="false">
      <c r="A92" s="9" t="s">
        <v>56</v>
      </c>
      <c r="B92" s="9" t="s">
        <v>117</v>
      </c>
      <c r="C92" s="9" t="s">
        <v>357</v>
      </c>
      <c r="D92" s="9" t="n">
        <v>2</v>
      </c>
      <c r="E92" s="9" t="s">
        <v>269</v>
      </c>
      <c r="F92" s="9" t="s">
        <v>358</v>
      </c>
    </row>
    <row r="93" customFormat="false" ht="15" hidden="false" customHeight="false" outlineLevel="0" collapsed="false">
      <c r="A93" s="9" t="s">
        <v>56</v>
      </c>
      <c r="B93" s="9" t="s">
        <v>117</v>
      </c>
      <c r="C93" s="9" t="s">
        <v>359</v>
      </c>
      <c r="D93" s="9" t="n">
        <v>3</v>
      </c>
      <c r="E93" s="9" t="s">
        <v>269</v>
      </c>
      <c r="F93" s="9" t="s">
        <v>358</v>
      </c>
    </row>
    <row r="94" customFormat="false" ht="15" hidden="false" customHeight="false" outlineLevel="0" collapsed="false">
      <c r="A94" s="9" t="s">
        <v>56</v>
      </c>
      <c r="B94" s="9" t="s">
        <v>117</v>
      </c>
      <c r="C94" s="9" t="s">
        <v>360</v>
      </c>
      <c r="D94" s="9" t="n">
        <v>4</v>
      </c>
      <c r="E94" s="9" t="s">
        <v>269</v>
      </c>
      <c r="F94" s="9" t="s">
        <v>358</v>
      </c>
    </row>
    <row r="95" customFormat="false" ht="15" hidden="false" customHeight="false" outlineLevel="0" collapsed="false">
      <c r="A95" s="9" t="s">
        <v>56</v>
      </c>
      <c r="B95" s="9" t="s">
        <v>117</v>
      </c>
      <c r="C95" s="9" t="s">
        <v>361</v>
      </c>
      <c r="D95" s="9" t="n">
        <v>6</v>
      </c>
      <c r="E95" s="9" t="s">
        <v>269</v>
      </c>
      <c r="F95" s="9" t="s">
        <v>358</v>
      </c>
    </row>
    <row r="96" customFormat="false" ht="15" hidden="false" customHeight="false" outlineLevel="0" collapsed="false">
      <c r="A96" s="9" t="s">
        <v>56</v>
      </c>
      <c r="B96" s="9" t="s">
        <v>118</v>
      </c>
      <c r="C96" s="9" t="s">
        <v>362</v>
      </c>
      <c r="D96" s="9" t="n">
        <v>2</v>
      </c>
      <c r="E96" s="9" t="s">
        <v>269</v>
      </c>
      <c r="F96" s="9" t="s">
        <v>363</v>
      </c>
    </row>
    <row r="97" customFormat="false" ht="15" hidden="false" customHeight="false" outlineLevel="0" collapsed="false">
      <c r="A97" s="9" t="s">
        <v>56</v>
      </c>
      <c r="B97" s="9" t="s">
        <v>118</v>
      </c>
      <c r="C97" s="9" t="s">
        <v>364</v>
      </c>
      <c r="D97" s="9"/>
      <c r="E97" s="9" t="s">
        <v>260</v>
      </c>
      <c r="F97" s="9" t="s">
        <v>365</v>
      </c>
    </row>
    <row r="98" customFormat="false" ht="15" hidden="false" customHeight="false" outlineLevel="0" collapsed="false">
      <c r="A98" s="9" t="s">
        <v>77</v>
      </c>
      <c r="B98" s="9" t="s">
        <v>119</v>
      </c>
      <c r="C98" s="9" t="s">
        <v>366</v>
      </c>
      <c r="D98" s="9" t="n">
        <v>2</v>
      </c>
      <c r="E98" s="9" t="s">
        <v>260</v>
      </c>
      <c r="F98" s="9" t="s">
        <v>367</v>
      </c>
    </row>
    <row r="99" customFormat="false" ht="15" hidden="false" customHeight="false" outlineLevel="0" collapsed="false">
      <c r="A99" s="9" t="s">
        <v>77</v>
      </c>
      <c r="B99" s="9" t="s">
        <v>119</v>
      </c>
      <c r="C99" s="9" t="s">
        <v>368</v>
      </c>
      <c r="D99" s="9" t="n">
        <v>4</v>
      </c>
      <c r="E99" s="9" t="s">
        <v>260</v>
      </c>
      <c r="F99" s="9" t="s">
        <v>367</v>
      </c>
    </row>
    <row r="100" customFormat="false" ht="15" hidden="false" customHeight="false" outlineLevel="0" collapsed="false">
      <c r="A100" s="9" t="s">
        <v>77</v>
      </c>
      <c r="B100" s="9" t="s">
        <v>119</v>
      </c>
      <c r="C100" s="9" t="s">
        <v>369</v>
      </c>
      <c r="D100" s="9" t="n">
        <v>6</v>
      </c>
      <c r="E100" s="9" t="s">
        <v>269</v>
      </c>
      <c r="F100" s="9" t="s">
        <v>370</v>
      </c>
    </row>
    <row r="101" customFormat="false" ht="15" hidden="false" customHeight="false" outlineLevel="0" collapsed="false">
      <c r="A101" s="9" t="s">
        <v>77</v>
      </c>
      <c r="B101" s="9" t="s">
        <v>119</v>
      </c>
      <c r="C101" s="9" t="s">
        <v>371</v>
      </c>
      <c r="D101" s="9" t="n">
        <v>8</v>
      </c>
      <c r="E101" s="9" t="s">
        <v>269</v>
      </c>
      <c r="F101" s="9" t="s">
        <v>370</v>
      </c>
    </row>
    <row r="102" customFormat="false" ht="15" hidden="false" customHeight="false" outlineLevel="0" collapsed="false">
      <c r="A102" s="9" t="s">
        <v>77</v>
      </c>
      <c r="B102" s="9" t="s">
        <v>119</v>
      </c>
      <c r="C102" s="9" t="s">
        <v>372</v>
      </c>
      <c r="D102" s="9" t="n">
        <v>12</v>
      </c>
      <c r="E102" s="9" t="s">
        <v>260</v>
      </c>
      <c r="F102" s="9" t="s">
        <v>367</v>
      </c>
    </row>
    <row r="103" customFormat="false" ht="15" hidden="false" customHeight="false" outlineLevel="0" collapsed="false">
      <c r="A103" s="9" t="s">
        <v>77</v>
      </c>
      <c r="B103" s="9" t="s">
        <v>119</v>
      </c>
      <c r="C103" s="9" t="s">
        <v>373</v>
      </c>
      <c r="D103" s="9" t="n">
        <v>16</v>
      </c>
      <c r="E103" s="9" t="s">
        <v>260</v>
      </c>
      <c r="F103" s="9" t="s">
        <v>367</v>
      </c>
    </row>
    <row r="104" customFormat="false" ht="15" hidden="false" customHeight="false" outlineLevel="0" collapsed="false">
      <c r="A104" s="9" t="s">
        <v>77</v>
      </c>
      <c r="B104" s="9" t="s">
        <v>120</v>
      </c>
      <c r="C104" s="9" t="s">
        <v>374</v>
      </c>
      <c r="D104" s="9" t="n">
        <v>2</v>
      </c>
      <c r="E104" s="9" t="s">
        <v>260</v>
      </c>
      <c r="F104" s="9" t="s">
        <v>375</v>
      </c>
    </row>
    <row r="105" customFormat="false" ht="15" hidden="false" customHeight="false" outlineLevel="0" collapsed="false">
      <c r="A105" s="9" t="s">
        <v>77</v>
      </c>
      <c r="B105" s="9" t="s">
        <v>120</v>
      </c>
      <c r="C105" s="9" t="s">
        <v>376</v>
      </c>
      <c r="D105" s="9" t="n">
        <v>4</v>
      </c>
      <c r="E105" s="9" t="s">
        <v>260</v>
      </c>
      <c r="F105" s="9" t="s">
        <v>375</v>
      </c>
    </row>
    <row r="106" customFormat="false" ht="15" hidden="false" customHeight="false" outlineLevel="0" collapsed="false">
      <c r="A106" s="9" t="s">
        <v>77</v>
      </c>
      <c r="B106" s="9" t="s">
        <v>120</v>
      </c>
      <c r="C106" s="9" t="s">
        <v>377</v>
      </c>
      <c r="D106" s="9" t="n">
        <v>6</v>
      </c>
      <c r="E106" s="9" t="s">
        <v>260</v>
      </c>
      <c r="F106" s="9" t="s">
        <v>375</v>
      </c>
    </row>
    <row r="107" customFormat="false" ht="15" hidden="false" customHeight="false" outlineLevel="0" collapsed="false">
      <c r="A107" s="9" t="s">
        <v>77</v>
      </c>
      <c r="B107" s="9" t="s">
        <v>120</v>
      </c>
      <c r="C107" s="9" t="s">
        <v>378</v>
      </c>
      <c r="D107" s="9" t="n">
        <v>8</v>
      </c>
      <c r="E107" s="9" t="s">
        <v>269</v>
      </c>
      <c r="F107" s="9" t="s">
        <v>335</v>
      </c>
    </row>
    <row r="108" customFormat="false" ht="15" hidden="false" customHeight="false" outlineLevel="0" collapsed="false">
      <c r="A108" s="9" t="s">
        <v>77</v>
      </c>
      <c r="B108" s="9" t="s">
        <v>120</v>
      </c>
      <c r="C108" s="9" t="s">
        <v>379</v>
      </c>
      <c r="D108" s="9" t="n">
        <v>8</v>
      </c>
      <c r="E108" s="9" t="s">
        <v>269</v>
      </c>
      <c r="F108" s="9" t="s">
        <v>380</v>
      </c>
    </row>
    <row r="109" customFormat="false" ht="15" hidden="false" customHeight="false" outlineLevel="0" collapsed="false">
      <c r="A109" s="9" t="s">
        <v>77</v>
      </c>
      <c r="B109" s="9" t="s">
        <v>120</v>
      </c>
      <c r="C109" s="9" t="s">
        <v>381</v>
      </c>
      <c r="D109" s="9" t="n">
        <v>12</v>
      </c>
      <c r="E109" s="9" t="s">
        <v>260</v>
      </c>
      <c r="F109" s="9" t="s">
        <v>375</v>
      </c>
    </row>
    <row r="110" customFormat="false" ht="15" hidden="false" customHeight="false" outlineLevel="0" collapsed="false">
      <c r="A110" s="9" t="s">
        <v>77</v>
      </c>
      <c r="B110" s="9" t="s">
        <v>120</v>
      </c>
      <c r="C110" s="9" t="s">
        <v>382</v>
      </c>
      <c r="D110" s="9" t="n">
        <v>16</v>
      </c>
      <c r="E110" s="9" t="s">
        <v>260</v>
      </c>
      <c r="F110" s="9" t="s">
        <v>375</v>
      </c>
    </row>
    <row r="111" customFormat="false" ht="15" hidden="false" customHeight="false" outlineLevel="0" collapsed="false">
      <c r="A111" s="9" t="s">
        <v>77</v>
      </c>
      <c r="B111" s="9" t="s">
        <v>121</v>
      </c>
      <c r="C111" s="9" t="s">
        <v>198</v>
      </c>
      <c r="D111" s="9"/>
      <c r="E111" s="9" t="s">
        <v>246</v>
      </c>
      <c r="F111" s="9" t="s">
        <v>383</v>
      </c>
    </row>
    <row r="112" customFormat="false" ht="15" hidden="false" customHeight="false" outlineLevel="0" collapsed="false">
      <c r="A112" s="9" t="s">
        <v>78</v>
      </c>
      <c r="B112" s="9" t="s">
        <v>122</v>
      </c>
      <c r="C112" s="9" t="s">
        <v>384</v>
      </c>
      <c r="D112" s="9" t="n">
        <v>2</v>
      </c>
      <c r="E112" s="9" t="s">
        <v>269</v>
      </c>
      <c r="F112" s="9" t="s">
        <v>385</v>
      </c>
    </row>
    <row r="113" customFormat="false" ht="15" hidden="false" customHeight="false" outlineLevel="0" collapsed="false">
      <c r="A113" s="9" t="s">
        <v>78</v>
      </c>
      <c r="B113" s="9" t="s">
        <v>122</v>
      </c>
      <c r="C113" s="9" t="s">
        <v>386</v>
      </c>
      <c r="D113" s="9" t="n">
        <v>4</v>
      </c>
      <c r="E113" s="9" t="s">
        <v>269</v>
      </c>
      <c r="F113" s="9" t="s">
        <v>385</v>
      </c>
    </row>
    <row r="114" customFormat="false" ht="15" hidden="false" customHeight="false" outlineLevel="0" collapsed="false">
      <c r="A114" s="9" t="s">
        <v>78</v>
      </c>
      <c r="B114" s="9" t="s">
        <v>122</v>
      </c>
      <c r="C114" s="9" t="s">
        <v>387</v>
      </c>
      <c r="D114" s="9" t="n">
        <v>6</v>
      </c>
      <c r="E114" s="9" t="s">
        <v>269</v>
      </c>
      <c r="F114" s="9" t="s">
        <v>385</v>
      </c>
    </row>
    <row r="115" customFormat="false" ht="15" hidden="false" customHeight="false" outlineLevel="0" collapsed="false">
      <c r="A115" s="9" t="s">
        <v>78</v>
      </c>
      <c r="B115" s="9" t="s">
        <v>122</v>
      </c>
      <c r="C115" s="9" t="s">
        <v>388</v>
      </c>
      <c r="D115" s="9" t="n">
        <v>8</v>
      </c>
      <c r="E115" s="9" t="s">
        <v>269</v>
      </c>
      <c r="F115" s="9" t="s">
        <v>389</v>
      </c>
    </row>
    <row r="116" customFormat="false" ht="15" hidden="false" customHeight="false" outlineLevel="0" collapsed="false">
      <c r="A116" s="9" t="s">
        <v>78</v>
      </c>
      <c r="B116" s="9" t="s">
        <v>122</v>
      </c>
      <c r="C116" s="9" t="s">
        <v>390</v>
      </c>
      <c r="D116" s="9"/>
      <c r="E116" s="9" t="s">
        <v>269</v>
      </c>
      <c r="F116" s="9" t="s">
        <v>391</v>
      </c>
    </row>
    <row r="117" customFormat="false" ht="15" hidden="false" customHeight="false" outlineLevel="0" collapsed="false">
      <c r="A117" s="9" t="s">
        <v>78</v>
      </c>
      <c r="B117" s="9" t="s">
        <v>123</v>
      </c>
      <c r="C117" s="9" t="s">
        <v>392</v>
      </c>
      <c r="D117" s="9" t="n">
        <v>4</v>
      </c>
      <c r="E117" s="9" t="s">
        <v>269</v>
      </c>
      <c r="F117" s="9" t="s">
        <v>370</v>
      </c>
    </row>
    <row r="118" customFormat="false" ht="15" hidden="false" customHeight="false" outlineLevel="0" collapsed="false">
      <c r="A118" s="9" t="s">
        <v>78</v>
      </c>
      <c r="B118" s="9" t="s">
        <v>123</v>
      </c>
      <c r="C118" s="9" t="s">
        <v>393</v>
      </c>
      <c r="D118" s="9" t="n">
        <v>6</v>
      </c>
      <c r="E118" s="9" t="s">
        <v>269</v>
      </c>
      <c r="F118" s="9" t="s">
        <v>370</v>
      </c>
    </row>
    <row r="119" customFormat="false" ht="15" hidden="false" customHeight="false" outlineLevel="0" collapsed="false">
      <c r="A119" s="9" t="s">
        <v>78</v>
      </c>
      <c r="B119" s="9" t="s">
        <v>123</v>
      </c>
      <c r="C119" s="9" t="s">
        <v>394</v>
      </c>
      <c r="D119" s="9" t="n">
        <v>12</v>
      </c>
      <c r="E119" s="9" t="s">
        <v>269</v>
      </c>
      <c r="F119" s="9" t="s">
        <v>370</v>
      </c>
    </row>
    <row r="120" customFormat="false" ht="15" hidden="false" customHeight="false" outlineLevel="0" collapsed="false">
      <c r="A120" s="9" t="s">
        <v>78</v>
      </c>
      <c r="B120" s="9" t="s">
        <v>123</v>
      </c>
      <c r="C120" s="9" t="s">
        <v>395</v>
      </c>
      <c r="D120" s="9" t="n">
        <v>8</v>
      </c>
      <c r="E120" s="9" t="s">
        <v>260</v>
      </c>
      <c r="F120" s="9" t="s">
        <v>375</v>
      </c>
    </row>
    <row r="121" customFormat="false" ht="15" hidden="false" customHeight="false" outlineLevel="0" collapsed="false">
      <c r="A121" s="9" t="s">
        <v>78</v>
      </c>
      <c r="B121" s="9" t="s">
        <v>124</v>
      </c>
      <c r="C121" s="9" t="s">
        <v>396</v>
      </c>
      <c r="D121" s="9" t="n">
        <v>2</v>
      </c>
      <c r="E121" s="9" t="s">
        <v>397</v>
      </c>
      <c r="F121" s="9" t="s">
        <v>398</v>
      </c>
    </row>
    <row r="122" customFormat="false" ht="15" hidden="false" customHeight="false" outlineLevel="0" collapsed="false">
      <c r="A122" s="9" t="s">
        <v>78</v>
      </c>
      <c r="B122" s="9" t="s">
        <v>124</v>
      </c>
      <c r="C122" s="9" t="s">
        <v>399</v>
      </c>
      <c r="D122" s="9" t="n">
        <v>4</v>
      </c>
      <c r="E122" s="9" t="s">
        <v>397</v>
      </c>
      <c r="F122" s="9" t="s">
        <v>398</v>
      </c>
    </row>
    <row r="123" customFormat="false" ht="15" hidden="false" customHeight="false" outlineLevel="0" collapsed="false">
      <c r="A123" s="9" t="s">
        <v>78</v>
      </c>
      <c r="B123" s="9" t="s">
        <v>124</v>
      </c>
      <c r="C123" s="9" t="s">
        <v>400</v>
      </c>
      <c r="D123" s="9" t="n">
        <v>6</v>
      </c>
      <c r="E123" s="9" t="s">
        <v>397</v>
      </c>
      <c r="F123" s="9" t="s">
        <v>398</v>
      </c>
    </row>
    <row r="124" customFormat="false" ht="15" hidden="false" customHeight="false" outlineLevel="0" collapsed="false">
      <c r="A124" s="9" t="s">
        <v>78</v>
      </c>
      <c r="B124" s="9" t="s">
        <v>124</v>
      </c>
      <c r="C124" s="9" t="s">
        <v>401</v>
      </c>
      <c r="D124" s="9" t="n">
        <v>8</v>
      </c>
      <c r="E124" s="9" t="s">
        <v>397</v>
      </c>
      <c r="F124" s="9" t="s">
        <v>398</v>
      </c>
    </row>
    <row r="125" customFormat="false" ht="15" hidden="false" customHeight="false" outlineLevel="0" collapsed="false">
      <c r="A125" s="9" t="s">
        <v>78</v>
      </c>
      <c r="B125" s="9" t="s">
        <v>124</v>
      </c>
      <c r="C125" s="9" t="s">
        <v>402</v>
      </c>
      <c r="D125" s="9"/>
      <c r="E125" s="9" t="s">
        <v>397</v>
      </c>
      <c r="F125" s="9" t="s">
        <v>403</v>
      </c>
    </row>
    <row r="126" customFormat="false" ht="15" hidden="false" customHeight="false" outlineLevel="0" collapsed="false">
      <c r="A126" s="9" t="s">
        <v>78</v>
      </c>
      <c r="B126" s="9" t="s">
        <v>124</v>
      </c>
      <c r="C126" s="9" t="s">
        <v>404</v>
      </c>
      <c r="D126" s="9"/>
      <c r="E126" s="9" t="s">
        <v>397</v>
      </c>
      <c r="F126" s="9" t="s">
        <v>403</v>
      </c>
    </row>
    <row r="127" customFormat="false" ht="15" hidden="false" customHeight="false" outlineLevel="0" collapsed="false">
      <c r="A127" s="9" t="s">
        <v>78</v>
      </c>
      <c r="B127" s="9" t="s">
        <v>125</v>
      </c>
      <c r="C127" s="9" t="s">
        <v>405</v>
      </c>
      <c r="D127" s="9" t="n">
        <v>4</v>
      </c>
      <c r="E127" s="9" t="s">
        <v>397</v>
      </c>
      <c r="F127" s="9" t="s">
        <v>398</v>
      </c>
    </row>
    <row r="128" customFormat="false" ht="15" hidden="false" customHeight="false" outlineLevel="0" collapsed="false">
      <c r="A128" s="9" t="s">
        <v>78</v>
      </c>
      <c r="B128" s="9" t="s">
        <v>125</v>
      </c>
      <c r="C128" s="9" t="s">
        <v>406</v>
      </c>
      <c r="D128" s="9" t="n">
        <v>6</v>
      </c>
      <c r="E128" s="9" t="s">
        <v>397</v>
      </c>
      <c r="F128" s="9" t="s">
        <v>398</v>
      </c>
    </row>
    <row r="129" customFormat="false" ht="15" hidden="false" customHeight="false" outlineLevel="0" collapsed="false">
      <c r="A129" s="9" t="s">
        <v>78</v>
      </c>
      <c r="B129" s="9" t="s">
        <v>125</v>
      </c>
      <c r="C129" s="9" t="s">
        <v>407</v>
      </c>
      <c r="D129" s="9" t="n">
        <v>8</v>
      </c>
      <c r="E129" s="9" t="s">
        <v>397</v>
      </c>
      <c r="F129" s="9" t="s">
        <v>398</v>
      </c>
    </row>
    <row r="130" customFormat="false" ht="15" hidden="false" customHeight="false" outlineLevel="0" collapsed="false">
      <c r="A130" s="9" t="s">
        <v>78</v>
      </c>
      <c r="B130" s="9" t="s">
        <v>125</v>
      </c>
      <c r="C130" s="9" t="s">
        <v>408</v>
      </c>
      <c r="D130" s="9" t="n">
        <v>12</v>
      </c>
      <c r="E130" s="9" t="s">
        <v>397</v>
      </c>
      <c r="F130" s="9" t="s">
        <v>398</v>
      </c>
    </row>
    <row r="131" customFormat="false" ht="15" hidden="false" customHeight="false" outlineLevel="0" collapsed="false">
      <c r="A131" s="9" t="s">
        <v>78</v>
      </c>
      <c r="B131" s="9" t="s">
        <v>125</v>
      </c>
      <c r="C131" s="9" t="s">
        <v>409</v>
      </c>
      <c r="D131" s="9"/>
      <c r="E131" s="9" t="s">
        <v>397</v>
      </c>
      <c r="F131" s="9" t="s">
        <v>403</v>
      </c>
    </row>
    <row r="132" customFormat="false" ht="15" hidden="false" customHeight="false" outlineLevel="0" collapsed="false">
      <c r="A132" s="9" t="s">
        <v>78</v>
      </c>
      <c r="B132" s="9" t="s">
        <v>125</v>
      </c>
      <c r="C132" s="9" t="s">
        <v>410</v>
      </c>
      <c r="D132" s="9"/>
      <c r="E132" s="9" t="s">
        <v>397</v>
      </c>
      <c r="F132" s="9" t="s">
        <v>403</v>
      </c>
    </row>
    <row r="133" customFormat="false" ht="15" hidden="false" customHeight="false" outlineLevel="0" collapsed="false">
      <c r="A133" s="9" t="s">
        <v>78</v>
      </c>
      <c r="B133" s="9" t="s">
        <v>126</v>
      </c>
      <c r="C133" s="9" t="s">
        <v>411</v>
      </c>
      <c r="D133" s="9"/>
      <c r="E133" s="9" t="s">
        <v>397</v>
      </c>
      <c r="F133" s="9" t="s">
        <v>412</v>
      </c>
    </row>
    <row r="134" customFormat="false" ht="15" hidden="false" customHeight="false" outlineLevel="0" collapsed="false">
      <c r="A134" s="9" t="s">
        <v>78</v>
      </c>
      <c r="B134" s="9" t="s">
        <v>126</v>
      </c>
      <c r="C134" s="9" t="s">
        <v>413</v>
      </c>
      <c r="D134" s="9"/>
      <c r="E134" s="9" t="s">
        <v>397</v>
      </c>
      <c r="F134" s="9" t="s">
        <v>412</v>
      </c>
    </row>
    <row r="135" customFormat="false" ht="15" hidden="false" customHeight="false" outlineLevel="0" collapsed="false">
      <c r="A135" s="9" t="s">
        <v>78</v>
      </c>
      <c r="B135" s="9" t="s">
        <v>126</v>
      </c>
      <c r="C135" s="9" t="s">
        <v>414</v>
      </c>
      <c r="D135" s="9"/>
      <c r="E135" s="9" t="s">
        <v>397</v>
      </c>
      <c r="F135" s="9" t="s">
        <v>412</v>
      </c>
    </row>
    <row r="136" customFormat="false" ht="15" hidden="false" customHeight="false" outlineLevel="0" collapsed="false">
      <c r="A136" s="9" t="s">
        <v>78</v>
      </c>
      <c r="B136" s="9" t="s">
        <v>126</v>
      </c>
      <c r="C136" s="9" t="s">
        <v>415</v>
      </c>
      <c r="D136" s="9"/>
      <c r="E136" s="9" t="s">
        <v>397</v>
      </c>
      <c r="F136" s="9" t="s">
        <v>412</v>
      </c>
    </row>
    <row r="137" customFormat="false" ht="15" hidden="false" customHeight="false" outlineLevel="0" collapsed="false">
      <c r="A137" s="9" t="s">
        <v>78</v>
      </c>
      <c r="B137" s="9" t="s">
        <v>126</v>
      </c>
      <c r="C137" s="9" t="s">
        <v>416</v>
      </c>
      <c r="D137" s="9"/>
      <c r="E137" s="9" t="s">
        <v>397</v>
      </c>
      <c r="F137" s="9" t="s">
        <v>412</v>
      </c>
    </row>
    <row r="138" customFormat="false" ht="15" hidden="false" customHeight="false" outlineLevel="0" collapsed="false">
      <c r="A138" s="9" t="s">
        <v>78</v>
      </c>
      <c r="B138" s="9" t="s">
        <v>126</v>
      </c>
      <c r="C138" s="9" t="s">
        <v>417</v>
      </c>
      <c r="D138" s="9"/>
      <c r="E138" s="9" t="s">
        <v>397</v>
      </c>
      <c r="F138" s="9" t="s">
        <v>412</v>
      </c>
    </row>
    <row r="139" customFormat="false" ht="15" hidden="false" customHeight="false" outlineLevel="0" collapsed="false">
      <c r="A139" s="9" t="s">
        <v>78</v>
      </c>
      <c r="B139" s="9" t="s">
        <v>126</v>
      </c>
      <c r="C139" s="9" t="s">
        <v>418</v>
      </c>
      <c r="D139" s="9"/>
      <c r="E139" s="9" t="s">
        <v>397</v>
      </c>
      <c r="F139" s="9" t="s">
        <v>412</v>
      </c>
    </row>
    <row r="140" customFormat="false" ht="15" hidden="false" customHeight="false" outlineLevel="0" collapsed="false">
      <c r="A140" s="9" t="s">
        <v>78</v>
      </c>
      <c r="B140" s="9" t="s">
        <v>126</v>
      </c>
      <c r="C140" s="9" t="s">
        <v>419</v>
      </c>
      <c r="D140" s="9"/>
      <c r="E140" s="9" t="s">
        <v>397</v>
      </c>
      <c r="F140" s="9" t="s">
        <v>412</v>
      </c>
    </row>
    <row r="141" customFormat="false" ht="15" hidden="false" customHeight="false" outlineLevel="0" collapsed="false">
      <c r="A141" s="9" t="s">
        <v>78</v>
      </c>
      <c r="B141" s="9" t="s">
        <v>126</v>
      </c>
      <c r="C141" s="9" t="s">
        <v>420</v>
      </c>
      <c r="D141" s="9"/>
      <c r="E141" s="9" t="s">
        <v>397</v>
      </c>
      <c r="F141" s="9" t="s">
        <v>412</v>
      </c>
    </row>
    <row r="142" customFormat="false" ht="15" hidden="false" customHeight="false" outlineLevel="0" collapsed="false">
      <c r="A142" s="9" t="s">
        <v>78</v>
      </c>
      <c r="B142" s="9" t="s">
        <v>127</v>
      </c>
      <c r="C142" s="9" t="s">
        <v>421</v>
      </c>
      <c r="D142" s="9" t="n">
        <v>4</v>
      </c>
      <c r="E142" s="9" t="s">
        <v>397</v>
      </c>
      <c r="F142" s="9" t="s">
        <v>422</v>
      </c>
    </row>
    <row r="143" customFormat="false" ht="15" hidden="false" customHeight="false" outlineLevel="0" collapsed="false">
      <c r="A143" s="9" t="s">
        <v>78</v>
      </c>
      <c r="B143" s="9" t="s">
        <v>127</v>
      </c>
      <c r="C143" s="9" t="s">
        <v>423</v>
      </c>
      <c r="D143" s="9" t="n">
        <v>6</v>
      </c>
      <c r="E143" s="9" t="s">
        <v>397</v>
      </c>
      <c r="F143" s="9" t="s">
        <v>422</v>
      </c>
    </row>
    <row r="144" customFormat="false" ht="15" hidden="false" customHeight="false" outlineLevel="0" collapsed="false">
      <c r="A144" s="9" t="s">
        <v>78</v>
      </c>
      <c r="B144" s="9" t="s">
        <v>127</v>
      </c>
      <c r="C144" s="9" t="s">
        <v>424</v>
      </c>
      <c r="D144" s="9" t="n">
        <v>8</v>
      </c>
      <c r="E144" s="9" t="s">
        <v>397</v>
      </c>
      <c r="F144" s="9" t="s">
        <v>422</v>
      </c>
    </row>
    <row r="145" customFormat="false" ht="15" hidden="false" customHeight="false" outlineLevel="0" collapsed="false">
      <c r="A145" s="9" t="s">
        <v>78</v>
      </c>
      <c r="B145" s="9" t="s">
        <v>128</v>
      </c>
      <c r="C145" s="9" t="s">
        <v>425</v>
      </c>
      <c r="D145" s="9" t="n">
        <v>2</v>
      </c>
      <c r="E145" s="9" t="s">
        <v>397</v>
      </c>
      <c r="F145" s="9" t="s">
        <v>426</v>
      </c>
    </row>
    <row r="146" customFormat="false" ht="15" hidden="false" customHeight="false" outlineLevel="0" collapsed="false">
      <c r="A146" s="9" t="s">
        <v>78</v>
      </c>
      <c r="B146" s="9" t="s">
        <v>128</v>
      </c>
      <c r="C146" s="9" t="s">
        <v>427</v>
      </c>
      <c r="D146" s="9" t="n">
        <v>4</v>
      </c>
      <c r="E146" s="9" t="s">
        <v>397</v>
      </c>
      <c r="F146" s="9" t="s">
        <v>426</v>
      </c>
    </row>
    <row r="147" customFormat="false" ht="15" hidden="false" customHeight="false" outlineLevel="0" collapsed="false">
      <c r="A147" s="9" t="s">
        <v>78</v>
      </c>
      <c r="B147" s="9" t="s">
        <v>128</v>
      </c>
      <c r="C147" s="9" t="s">
        <v>428</v>
      </c>
      <c r="D147" s="9" t="n">
        <v>6</v>
      </c>
      <c r="E147" s="9" t="s">
        <v>397</v>
      </c>
      <c r="F147" s="9" t="s">
        <v>426</v>
      </c>
    </row>
    <row r="148" customFormat="false" ht="15" hidden="false" customHeight="false" outlineLevel="0" collapsed="false">
      <c r="A148" s="9" t="s">
        <v>78</v>
      </c>
      <c r="B148" s="9" t="s">
        <v>128</v>
      </c>
      <c r="C148" s="9" t="s">
        <v>429</v>
      </c>
      <c r="D148" s="9" t="n">
        <v>8</v>
      </c>
      <c r="E148" s="9" t="s">
        <v>397</v>
      </c>
      <c r="F148" s="9" t="s">
        <v>426</v>
      </c>
    </row>
    <row r="149" customFormat="false" ht="15" hidden="false" customHeight="false" outlineLevel="0" collapsed="false">
      <c r="A149" s="9" t="s">
        <v>78</v>
      </c>
      <c r="B149" s="9" t="s">
        <v>128</v>
      </c>
      <c r="C149" s="9" t="s">
        <v>430</v>
      </c>
      <c r="D149" s="9"/>
      <c r="E149" s="9" t="s">
        <v>397</v>
      </c>
      <c r="F149" s="9" t="s">
        <v>403</v>
      </c>
    </row>
    <row r="150" customFormat="false" ht="15" hidden="false" customHeight="false" outlineLevel="0" collapsed="false">
      <c r="A150" s="9" t="s">
        <v>78</v>
      </c>
      <c r="B150" s="9" t="s">
        <v>128</v>
      </c>
      <c r="C150" s="9" t="s">
        <v>431</v>
      </c>
      <c r="D150" s="9"/>
      <c r="E150" s="9" t="s">
        <v>397</v>
      </c>
      <c r="F150" s="9" t="s">
        <v>403</v>
      </c>
    </row>
    <row r="151" customFormat="false" ht="15" hidden="false" customHeight="false" outlineLevel="0" collapsed="false">
      <c r="A151" s="9" t="s">
        <v>78</v>
      </c>
      <c r="B151" s="9" t="s">
        <v>129</v>
      </c>
      <c r="C151" s="9" t="s">
        <v>432</v>
      </c>
      <c r="D151" s="9" t="n">
        <v>6</v>
      </c>
      <c r="E151" s="9" t="s">
        <v>269</v>
      </c>
      <c r="F151" s="9" t="s">
        <v>335</v>
      </c>
    </row>
    <row r="152" customFormat="false" ht="15" hidden="false" customHeight="false" outlineLevel="0" collapsed="false">
      <c r="A152" s="9" t="s">
        <v>78</v>
      </c>
      <c r="B152" s="9" t="s">
        <v>129</v>
      </c>
      <c r="C152" s="9" t="s">
        <v>433</v>
      </c>
      <c r="D152" s="9"/>
      <c r="E152" s="9" t="s">
        <v>260</v>
      </c>
      <c r="F152" s="9" t="s">
        <v>434</v>
      </c>
    </row>
    <row r="153" customFormat="false" ht="15" hidden="false" customHeight="false" outlineLevel="0" collapsed="false">
      <c r="A153" s="9" t="s">
        <v>79</v>
      </c>
      <c r="B153" s="9" t="s">
        <v>130</v>
      </c>
      <c r="C153" s="9" t="s">
        <v>435</v>
      </c>
      <c r="D153" s="9"/>
      <c r="E153" s="9" t="s">
        <v>269</v>
      </c>
      <c r="F153" s="9" t="s">
        <v>300</v>
      </c>
    </row>
    <row r="154" customFormat="false" ht="15" hidden="false" customHeight="false" outlineLevel="0" collapsed="false">
      <c r="A154" s="9" t="s">
        <v>79</v>
      </c>
      <c r="B154" s="9" t="s">
        <v>130</v>
      </c>
      <c r="C154" s="9" t="s">
        <v>436</v>
      </c>
      <c r="D154" s="9"/>
      <c r="E154" s="9" t="s">
        <v>269</v>
      </c>
      <c r="F154" s="9" t="s">
        <v>300</v>
      </c>
    </row>
    <row r="155" customFormat="false" ht="15" hidden="false" customHeight="false" outlineLevel="0" collapsed="false">
      <c r="A155" s="9" t="s">
        <v>79</v>
      </c>
      <c r="B155" s="9" t="s">
        <v>130</v>
      </c>
      <c r="C155" s="9" t="s">
        <v>437</v>
      </c>
      <c r="D155" s="9"/>
      <c r="E155" s="9" t="s">
        <v>269</v>
      </c>
      <c r="F155" s="9" t="s">
        <v>300</v>
      </c>
    </row>
    <row r="156" customFormat="false" ht="15" hidden="false" customHeight="false" outlineLevel="0" collapsed="false">
      <c r="A156" s="9" t="s">
        <v>79</v>
      </c>
      <c r="B156" s="9" t="s">
        <v>130</v>
      </c>
      <c r="C156" s="9" t="s">
        <v>438</v>
      </c>
      <c r="D156" s="9"/>
      <c r="E156" s="9" t="s">
        <v>269</v>
      </c>
      <c r="F156" s="9" t="s">
        <v>300</v>
      </c>
    </row>
    <row r="157" customFormat="false" ht="15" hidden="false" customHeight="false" outlineLevel="0" collapsed="false">
      <c r="A157" s="9" t="s">
        <v>79</v>
      </c>
      <c r="B157" s="9" t="s">
        <v>130</v>
      </c>
      <c r="C157" s="9" t="s">
        <v>439</v>
      </c>
      <c r="D157" s="9"/>
      <c r="E157" s="9" t="s">
        <v>269</v>
      </c>
      <c r="F157" s="9" t="s">
        <v>300</v>
      </c>
    </row>
    <row r="158" customFormat="false" ht="15" hidden="false" customHeight="false" outlineLevel="0" collapsed="false">
      <c r="A158" s="9" t="s">
        <v>79</v>
      </c>
      <c r="B158" s="9" t="s">
        <v>130</v>
      </c>
      <c r="C158" s="9" t="s">
        <v>440</v>
      </c>
      <c r="D158" s="9"/>
      <c r="E158" s="9" t="s">
        <v>269</v>
      </c>
      <c r="F158" s="9" t="s">
        <v>300</v>
      </c>
    </row>
    <row r="159" customFormat="false" ht="15" hidden="false" customHeight="false" outlineLevel="0" collapsed="false">
      <c r="A159" s="9" t="s">
        <v>79</v>
      </c>
      <c r="B159" s="9" t="s">
        <v>130</v>
      </c>
      <c r="C159" s="9" t="s">
        <v>441</v>
      </c>
      <c r="D159" s="9"/>
      <c r="E159" s="9" t="s">
        <v>269</v>
      </c>
      <c r="F159" s="9" t="s">
        <v>300</v>
      </c>
    </row>
    <row r="160" customFormat="false" ht="15" hidden="false" customHeight="false" outlineLevel="0" collapsed="false">
      <c r="A160" s="9" t="s">
        <v>79</v>
      </c>
      <c r="B160" s="9" t="s">
        <v>130</v>
      </c>
      <c r="C160" s="9" t="s">
        <v>442</v>
      </c>
      <c r="D160" s="9"/>
      <c r="E160" s="9" t="s">
        <v>269</v>
      </c>
      <c r="F160" s="9" t="s">
        <v>300</v>
      </c>
    </row>
    <row r="161" customFormat="false" ht="15" hidden="false" customHeight="false" outlineLevel="0" collapsed="false">
      <c r="A161" s="9" t="s">
        <v>79</v>
      </c>
      <c r="B161" s="9" t="s">
        <v>131</v>
      </c>
      <c r="C161" s="9" t="s">
        <v>443</v>
      </c>
      <c r="D161" s="9"/>
      <c r="E161" s="9" t="s">
        <v>269</v>
      </c>
      <c r="F161" s="9" t="s">
        <v>300</v>
      </c>
    </row>
    <row r="162" customFormat="false" ht="15" hidden="false" customHeight="false" outlineLevel="0" collapsed="false">
      <c r="A162" s="9" t="s">
        <v>79</v>
      </c>
      <c r="B162" s="9" t="s">
        <v>131</v>
      </c>
      <c r="C162" s="9" t="s">
        <v>444</v>
      </c>
      <c r="D162" s="9"/>
      <c r="E162" s="9" t="s">
        <v>269</v>
      </c>
      <c r="F162" s="9" t="s">
        <v>300</v>
      </c>
    </row>
    <row r="163" customFormat="false" ht="15" hidden="false" customHeight="false" outlineLevel="0" collapsed="false">
      <c r="A163" s="9" t="s">
        <v>79</v>
      </c>
      <c r="B163" s="9" t="s">
        <v>131</v>
      </c>
      <c r="C163" s="9" t="s">
        <v>445</v>
      </c>
      <c r="D163" s="9"/>
      <c r="E163" s="9" t="s">
        <v>269</v>
      </c>
      <c r="F163" s="9" t="s">
        <v>300</v>
      </c>
    </row>
    <row r="164" customFormat="false" ht="15" hidden="false" customHeight="false" outlineLevel="0" collapsed="false">
      <c r="A164" s="9" t="s">
        <v>79</v>
      </c>
      <c r="B164" s="9" t="s">
        <v>131</v>
      </c>
      <c r="C164" s="9" t="s">
        <v>446</v>
      </c>
      <c r="D164" s="9"/>
      <c r="E164" s="9" t="s">
        <v>269</v>
      </c>
      <c r="F164" s="9" t="s">
        <v>300</v>
      </c>
    </row>
    <row r="165" customFormat="false" ht="15" hidden="false" customHeight="false" outlineLevel="0" collapsed="false">
      <c r="A165" s="9" t="s">
        <v>79</v>
      </c>
      <c r="B165" s="9" t="s">
        <v>132</v>
      </c>
      <c r="C165" s="9" t="s">
        <v>447</v>
      </c>
      <c r="D165" s="9"/>
      <c r="E165" s="9" t="s">
        <v>269</v>
      </c>
      <c r="F165" s="9" t="s">
        <v>300</v>
      </c>
    </row>
    <row r="166" customFormat="false" ht="15" hidden="false" customHeight="false" outlineLevel="0" collapsed="false">
      <c r="A166" s="9" t="s">
        <v>79</v>
      </c>
      <c r="B166" s="9" t="s">
        <v>132</v>
      </c>
      <c r="C166" s="9" t="s">
        <v>448</v>
      </c>
      <c r="D166" s="9"/>
      <c r="E166" s="9" t="s">
        <v>269</v>
      </c>
      <c r="F166" s="9" t="s">
        <v>300</v>
      </c>
    </row>
    <row r="167" customFormat="false" ht="15" hidden="false" customHeight="false" outlineLevel="0" collapsed="false">
      <c r="A167" s="9" t="s">
        <v>79</v>
      </c>
      <c r="B167" s="9" t="s">
        <v>132</v>
      </c>
      <c r="C167" s="9" t="s">
        <v>449</v>
      </c>
      <c r="D167" s="9"/>
      <c r="E167" s="9" t="s">
        <v>269</v>
      </c>
      <c r="F167" s="9" t="s">
        <v>300</v>
      </c>
    </row>
    <row r="168" customFormat="false" ht="15" hidden="false" customHeight="false" outlineLevel="0" collapsed="false">
      <c r="A168" s="9" t="s">
        <v>79</v>
      </c>
      <c r="B168" s="9" t="s">
        <v>132</v>
      </c>
      <c r="C168" s="9" t="s">
        <v>450</v>
      </c>
      <c r="D168" s="9"/>
      <c r="E168" s="9" t="s">
        <v>269</v>
      </c>
      <c r="F168" s="9" t="s">
        <v>300</v>
      </c>
    </row>
    <row r="169" customFormat="false" ht="15" hidden="false" customHeight="false" outlineLevel="0" collapsed="false">
      <c r="A169" s="9" t="s">
        <v>79</v>
      </c>
      <c r="B169" s="9" t="s">
        <v>132</v>
      </c>
      <c r="C169" s="9" t="s">
        <v>451</v>
      </c>
      <c r="D169" s="9"/>
      <c r="E169" s="9" t="s">
        <v>269</v>
      </c>
      <c r="F169" s="9" t="s">
        <v>300</v>
      </c>
    </row>
    <row r="170" customFormat="false" ht="15" hidden="false" customHeight="false" outlineLevel="0" collapsed="false">
      <c r="A170" s="9" t="s">
        <v>79</v>
      </c>
      <c r="B170" s="9" t="s">
        <v>132</v>
      </c>
      <c r="C170" s="9" t="s">
        <v>452</v>
      </c>
      <c r="D170" s="9"/>
      <c r="E170" s="9" t="s">
        <v>269</v>
      </c>
      <c r="F170" s="9" t="s">
        <v>300</v>
      </c>
    </row>
    <row r="171" customFormat="false" ht="15" hidden="false" customHeight="false" outlineLevel="0" collapsed="false">
      <c r="A171" s="9" t="s">
        <v>79</v>
      </c>
      <c r="B171" s="9" t="s">
        <v>133</v>
      </c>
      <c r="C171" s="9" t="s">
        <v>240</v>
      </c>
      <c r="D171" s="9"/>
      <c r="E171" s="9" t="s">
        <v>260</v>
      </c>
      <c r="F171" s="9" t="s">
        <v>453</v>
      </c>
    </row>
  </sheetData>
  <autoFilter ref="A1:F171"/>
  <conditionalFormatting sqref="E2:E171">
    <cfRule type="cellIs" priority="2" operator="equal" aboveAverage="0" equalAverage="0" bottom="0" percent="0" rank="0" text="" dxfId="7">
      <formula>"Verify with team"</formula>
    </cfRule>
    <cfRule type="cellIs" priority="3" operator="equal" aboveAverage="0" equalAverage="0" bottom="0" percent="0" rank="0" text="" dxfId="10">
      <formula>"Confirmed (OEM page)"</formula>
    </cfRule>
    <cfRule type="cellIs" priority="4" operator="equal" aboveAverage="0" equalAverage="0" bottom="0" percent="0" rank="0" text="" dxfId="10">
      <formula>"Confirmed (OEM manual title)"</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3" min="2" style="0" width="32"/>
    <col collapsed="false" customWidth="true" hidden="false" outlineLevel="0" max="4" min="4" style="0" width="80"/>
  </cols>
  <sheetData>
    <row r="1" customFormat="false" ht="15" hidden="false" customHeight="false" outlineLevel="0" collapsed="false">
      <c r="A1" s="8" t="s">
        <v>454</v>
      </c>
      <c r="B1" s="8" t="s">
        <v>48</v>
      </c>
      <c r="C1" s="8" t="s">
        <v>135</v>
      </c>
      <c r="D1" s="8" t="s">
        <v>455</v>
      </c>
    </row>
    <row r="2" customFormat="false" ht="15" hidden="false" customHeight="false" outlineLevel="0" collapsed="false">
      <c r="A2" s="18" t="s">
        <v>456</v>
      </c>
      <c r="B2" s="18" t="s">
        <v>58</v>
      </c>
      <c r="C2" s="18" t="s">
        <v>457</v>
      </c>
      <c r="D2" s="18" t="s">
        <v>458</v>
      </c>
    </row>
    <row r="3" customFormat="false" ht="15" hidden="false" customHeight="false" outlineLevel="0" collapsed="false">
      <c r="A3" s="18" t="s">
        <v>459</v>
      </c>
      <c r="B3" s="18" t="s">
        <v>91</v>
      </c>
      <c r="C3" s="18" t="s">
        <v>460</v>
      </c>
      <c r="D3" s="18" t="s">
        <v>461</v>
      </c>
    </row>
    <row r="4" customFormat="false" ht="15" hidden="false" customHeight="false" outlineLevel="0" collapsed="false">
      <c r="A4" s="18" t="s">
        <v>462</v>
      </c>
      <c r="B4" s="18" t="s">
        <v>92</v>
      </c>
      <c r="C4" s="18" t="s">
        <v>463</v>
      </c>
      <c r="D4" s="18" t="s">
        <v>464</v>
      </c>
    </row>
    <row r="5" customFormat="false" ht="15" hidden="false" customHeight="false" outlineLevel="0" collapsed="false">
      <c r="A5" s="18" t="s">
        <v>465</v>
      </c>
      <c r="B5" s="18" t="s">
        <v>93</v>
      </c>
      <c r="C5" s="18" t="s">
        <v>466</v>
      </c>
      <c r="D5" s="18" t="s">
        <v>467</v>
      </c>
    </row>
    <row r="6" customFormat="false" ht="15" hidden="false" customHeight="false" outlineLevel="0" collapsed="false">
      <c r="A6" s="18" t="s">
        <v>468</v>
      </c>
      <c r="B6" s="18" t="s">
        <v>94</v>
      </c>
      <c r="C6" s="18" t="s">
        <v>469</v>
      </c>
      <c r="D6" s="18" t="s">
        <v>470</v>
      </c>
    </row>
    <row r="7" customFormat="false" ht="15" hidden="false" customHeight="false" outlineLevel="0" collapsed="false">
      <c r="A7" s="18" t="s">
        <v>471</v>
      </c>
      <c r="B7" s="18" t="s">
        <v>95</v>
      </c>
      <c r="C7" s="18" t="s">
        <v>472</v>
      </c>
      <c r="D7" s="18" t="s">
        <v>473</v>
      </c>
    </row>
    <row r="8" customFormat="false" ht="15" hidden="false" customHeight="false" outlineLevel="0" collapsed="false">
      <c r="A8" s="18" t="s">
        <v>474</v>
      </c>
      <c r="B8" s="18" t="s">
        <v>96</v>
      </c>
      <c r="C8" s="18" t="s">
        <v>475</v>
      </c>
      <c r="D8" s="18" t="s">
        <v>476</v>
      </c>
    </row>
    <row r="9" customFormat="false" ht="15" hidden="false" customHeight="false" outlineLevel="0" collapsed="false">
      <c r="A9" s="18" t="s">
        <v>477</v>
      </c>
      <c r="B9" s="18" t="s">
        <v>97</v>
      </c>
      <c r="C9" s="18" t="s">
        <v>478</v>
      </c>
      <c r="D9" s="18" t="s">
        <v>479</v>
      </c>
    </row>
    <row r="10" customFormat="false" ht="15" hidden="false" customHeight="false" outlineLevel="0" collapsed="false">
      <c r="A10" s="18" t="s">
        <v>480</v>
      </c>
      <c r="B10" s="18" t="s">
        <v>98</v>
      </c>
      <c r="C10" s="18" t="s">
        <v>481</v>
      </c>
      <c r="D10" s="18" t="s">
        <v>482</v>
      </c>
    </row>
    <row r="11" customFormat="false" ht="15" hidden="false" customHeight="false" outlineLevel="0" collapsed="false">
      <c r="A11" s="18" t="s">
        <v>483</v>
      </c>
      <c r="B11" s="18" t="s">
        <v>99</v>
      </c>
      <c r="C11" s="18" t="s">
        <v>484</v>
      </c>
      <c r="D11" s="18" t="s">
        <v>485</v>
      </c>
    </row>
    <row r="12" customFormat="false" ht="15" hidden="false" customHeight="false" outlineLevel="0" collapsed="false">
      <c r="A12" s="18" t="s">
        <v>486</v>
      </c>
      <c r="B12" s="18" t="s">
        <v>100</v>
      </c>
      <c r="C12" s="18" t="s">
        <v>487</v>
      </c>
      <c r="D12" s="18" t="s">
        <v>488</v>
      </c>
    </row>
    <row r="13" customFormat="false" ht="15" hidden="false" customHeight="false" outlineLevel="0" collapsed="false">
      <c r="A13" s="18" t="s">
        <v>489</v>
      </c>
      <c r="B13" s="18" t="s">
        <v>101</v>
      </c>
      <c r="C13" s="18" t="s">
        <v>490</v>
      </c>
      <c r="D13" s="18" t="s">
        <v>491</v>
      </c>
    </row>
    <row r="14" customFormat="false" ht="15" hidden="false" customHeight="false" outlineLevel="0" collapsed="false">
      <c r="A14" s="18" t="s">
        <v>492</v>
      </c>
      <c r="B14" s="18" t="s">
        <v>102</v>
      </c>
      <c r="C14" s="18" t="s">
        <v>493</v>
      </c>
      <c r="D14" s="18" t="s">
        <v>494</v>
      </c>
    </row>
    <row r="15" customFormat="false" ht="15" hidden="false" customHeight="false" outlineLevel="0" collapsed="false">
      <c r="A15" s="18" t="s">
        <v>495</v>
      </c>
      <c r="B15" s="18" t="s">
        <v>103</v>
      </c>
      <c r="C15" s="18" t="s">
        <v>496</v>
      </c>
      <c r="D15" s="18" t="s">
        <v>497</v>
      </c>
    </row>
    <row r="16" customFormat="false" ht="15" hidden="false" customHeight="false" outlineLevel="0" collapsed="false">
      <c r="A16" s="18" t="s">
        <v>498</v>
      </c>
      <c r="B16" s="18" t="s">
        <v>104</v>
      </c>
      <c r="C16" s="18" t="s">
        <v>499</v>
      </c>
      <c r="D16" s="18" t="s">
        <v>500</v>
      </c>
    </row>
    <row r="17" customFormat="false" ht="15" hidden="false" customHeight="false" outlineLevel="0" collapsed="false">
      <c r="A17" s="18" t="s">
        <v>501</v>
      </c>
      <c r="B17" s="18" t="s">
        <v>105</v>
      </c>
      <c r="C17" s="18" t="s">
        <v>502</v>
      </c>
      <c r="D17" s="18" t="s">
        <v>503</v>
      </c>
    </row>
    <row r="18" customFormat="false" ht="15" hidden="false" customHeight="false" outlineLevel="0" collapsed="false">
      <c r="A18" s="18" t="s">
        <v>504</v>
      </c>
      <c r="B18" s="18" t="s">
        <v>106</v>
      </c>
      <c r="C18" s="18" t="s">
        <v>505</v>
      </c>
      <c r="D18" s="18" t="s">
        <v>506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12"/>
    <col collapsed="false" customWidth="true" hidden="false" outlineLevel="0" max="3" min="3" style="0" width="3"/>
    <col collapsed="false" customWidth="true" hidden="false" outlineLevel="0" max="4" min="4" style="0" width="18"/>
    <col collapsed="false" customWidth="true" hidden="false" outlineLevel="0" max="5" min="5" style="0" width="3"/>
    <col collapsed="false" customWidth="true" hidden="false" outlineLevel="0" max="6" min="6" style="0" width="18"/>
    <col collapsed="false" customWidth="true" hidden="false" outlineLevel="0" max="7" min="7" style="0" width="3"/>
    <col collapsed="false" customWidth="true" hidden="false" outlineLevel="0" max="8" min="8" style="0" width="16"/>
    <col collapsed="false" customWidth="true" hidden="false" outlineLevel="0" max="9" min="9" style="0" width="3"/>
    <col collapsed="false" customWidth="true" hidden="false" outlineLevel="0" max="10" min="10" style="0" width="14"/>
  </cols>
  <sheetData>
    <row r="1" customFormat="false" ht="15" hidden="false" customHeight="false" outlineLevel="0" collapsed="false">
      <c r="A1" s="8" t="s">
        <v>47</v>
      </c>
      <c r="B1" s="8" t="s">
        <v>507</v>
      </c>
      <c r="C1" s="15"/>
      <c r="D1" s="22" t="s">
        <v>52</v>
      </c>
      <c r="E1" s="15"/>
      <c r="F1" s="22" t="s">
        <v>53</v>
      </c>
      <c r="G1" s="15"/>
      <c r="H1" s="22" t="s">
        <v>54</v>
      </c>
      <c r="I1" s="15"/>
      <c r="J1" s="22" t="s">
        <v>55</v>
      </c>
    </row>
    <row r="2" customFormat="false" ht="15" hidden="false" customHeight="false" outlineLevel="0" collapsed="false">
      <c r="A2" s="15" t="s">
        <v>75</v>
      </c>
      <c r="B2" s="15" t="s">
        <v>508</v>
      </c>
      <c r="C2" s="15"/>
      <c r="D2" s="15" t="s">
        <v>70</v>
      </c>
      <c r="E2" s="15"/>
      <c r="F2" s="15" t="s">
        <v>63</v>
      </c>
      <c r="G2" s="15"/>
      <c r="H2" s="15" t="s">
        <v>509</v>
      </c>
      <c r="I2" s="15"/>
      <c r="J2" s="15" t="s">
        <v>65</v>
      </c>
    </row>
    <row r="3" customFormat="false" ht="15" hidden="false" customHeight="false" outlineLevel="0" collapsed="false">
      <c r="A3" s="15" t="s">
        <v>76</v>
      </c>
      <c r="B3" s="15" t="s">
        <v>510</v>
      </c>
      <c r="C3" s="15"/>
      <c r="D3" s="15" t="s">
        <v>71</v>
      </c>
      <c r="E3" s="15"/>
      <c r="F3" s="15" t="s">
        <v>511</v>
      </c>
      <c r="G3" s="15"/>
      <c r="H3" s="15" t="s">
        <v>64</v>
      </c>
      <c r="I3" s="15"/>
      <c r="J3" s="15" t="s">
        <v>512</v>
      </c>
    </row>
    <row r="4" customFormat="false" ht="15" hidden="false" customHeight="false" outlineLevel="0" collapsed="false">
      <c r="A4" s="15" t="s">
        <v>56</v>
      </c>
      <c r="B4" s="15" t="s">
        <v>513</v>
      </c>
      <c r="C4" s="15"/>
      <c r="D4" s="15" t="s">
        <v>72</v>
      </c>
      <c r="E4" s="15"/>
      <c r="F4" s="15" t="s">
        <v>514</v>
      </c>
      <c r="G4" s="15"/>
      <c r="H4" s="15" t="s">
        <v>515</v>
      </c>
      <c r="I4" s="15"/>
      <c r="J4" s="15" t="s">
        <v>516</v>
      </c>
    </row>
    <row r="5" customFormat="false" ht="15" hidden="false" customHeight="false" outlineLevel="0" collapsed="false">
      <c r="A5" s="15" t="s">
        <v>77</v>
      </c>
      <c r="B5" s="15" t="s">
        <v>517</v>
      </c>
      <c r="C5" s="15"/>
      <c r="D5" s="15" t="s">
        <v>62</v>
      </c>
      <c r="E5" s="15"/>
      <c r="F5" s="15"/>
      <c r="G5" s="15"/>
      <c r="H5" s="15" t="s">
        <v>518</v>
      </c>
      <c r="I5" s="15"/>
      <c r="J5" s="15"/>
    </row>
    <row r="6" customFormat="false" ht="15" hidden="false" customHeight="false" outlineLevel="0" collapsed="false">
      <c r="A6" s="15" t="s">
        <v>78</v>
      </c>
      <c r="B6" s="15" t="s">
        <v>519</v>
      </c>
      <c r="C6" s="15"/>
      <c r="D6" s="15" t="s">
        <v>73</v>
      </c>
      <c r="E6" s="15"/>
      <c r="F6" s="15"/>
      <c r="G6" s="15"/>
      <c r="H6" s="15" t="s">
        <v>520</v>
      </c>
      <c r="I6" s="15"/>
      <c r="J6" s="15"/>
    </row>
    <row r="7" customFormat="false" ht="15" hidden="false" customHeight="false" outlineLevel="0" collapsed="false">
      <c r="A7" s="15" t="s">
        <v>79</v>
      </c>
      <c r="B7" s="15" t="s">
        <v>521</v>
      </c>
      <c r="C7" s="15"/>
      <c r="D7" s="15"/>
      <c r="E7" s="15"/>
      <c r="F7" s="15"/>
      <c r="G7" s="15"/>
      <c r="H7" s="15"/>
      <c r="I7" s="15"/>
      <c r="J7" s="15"/>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2026-10-24T06:10:08Z</dcterms:created>
  <dc:creator>openpyxl</dc:creator>
  <dc:description/>
  <dc:language>en-US</dc:language>
  <cp:lastModifiedBy/>
  <dcterms:modified xsi:type="dcterms:W3CDTF">2026-10-24T06:10:08Z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