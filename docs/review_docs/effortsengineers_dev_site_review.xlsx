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hecklist" sheetId="2" state="visible" r:id="rId4"/>
    <sheet name="Facts to Confirm" sheetId="3" state="visible" r:id="rId5"/>
  </sheets>
  <definedNames>
    <definedName function="false" hidden="true" localSheetId="1" name="_xlnm._FilterDatabase" vbProcedure="false">Checklist!$A$1:$I$31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<sst xmlns="http://schemas.openxmlformats.org/spreadsheetml/2006/main" count="268" uniqueCount="175">
  <si>
    <t xml:space="preserve">dev.effortsengineers.in – Review Checklist Summary</t>
  </si>
  <si>
    <t xml:space="preserve">Review date: 30 Oct 2026. Based on text content of Home, Products, Services, About, Contact and Warranty pages (visuals and interactive features not tested).</t>
  </si>
  <si>
    <t xml:space="preserve">Priority</t>
  </si>
  <si>
    <t xml:space="preserve">Total</t>
  </si>
  <si>
    <t xml:space="preserve">Open</t>
  </si>
  <si>
    <t xml:space="preserve">In progress</t>
  </si>
  <si>
    <t xml:space="preserve">Done</t>
  </si>
  <si>
    <t xml:space="preserve">High</t>
  </si>
  <si>
    <t xml:space="preserve">Medium</t>
  </si>
  <si>
    <t xml:space="preserve">Low</t>
  </si>
  <si>
    <t xml:space="preserve">Sheets: Checklist (set Owner/Status per item) · Facts to Confirm (decide one correct value for each repeated detail).</t>
  </si>
  <si>
    <t xml:space="preserve">ID</t>
  </si>
  <si>
    <t xml:space="preserve">Category</t>
  </si>
  <si>
    <t xml:space="preserve">Page(s)</t>
  </si>
  <si>
    <t xml:space="preserve">Issue found</t>
  </si>
  <si>
    <t xml:space="preserve">Recommended fix</t>
  </si>
  <si>
    <t xml:space="preserve">Owner</t>
  </si>
  <si>
    <t xml:space="preserve">Status</t>
  </si>
  <si>
    <t xml:space="preserve">Notes</t>
  </si>
  <si>
    <t xml:space="preserve">EE-01</t>
  </si>
  <si>
    <t xml:space="preserve">Content consistency</t>
  </si>
  <si>
    <t xml:space="preserve">Footer, Contact, Products, Services</t>
  </si>
  <si>
    <t xml:space="preserve">Two different WhatsApp numbers: +91 90960 01010 (footer, Contact hotline) and +91 90960 26622 (Products/Services/Contact CTAs).</t>
  </si>
  <si>
    <t xml:space="preserve">Choose one primary WhatsApp number; label the other (e.g. 'Breakdown hotline') or drop it. Store in one config value so every page uses it.</t>
  </si>
  <si>
    <t xml:space="preserve">EE-02</t>
  </si>
  <si>
    <t xml:space="preserve">Top bar, Footer, Contact</t>
  </si>
  <si>
    <t xml:space="preserve">Three different emails: efforts.engineers@HOTMAIL.COM, milan@effortsengineers.in, saurabh@effortsengineers.in. The top bar shows different emails on different pages.</t>
  </si>
  <si>
    <t xml:space="preserve">Use domain emails only (e.g. sales@ / info@) in one config value. Avoid the all-caps Hotmail address on a business site.</t>
  </si>
  <si>
    <t xml:space="preserve">EE-03</t>
  </si>
  <si>
    <t xml:space="preserve">Footer vs Contact</t>
  </si>
  <si>
    <t xml:space="preserve">Address mismatch: footer says Shop 10/11, Shirole Park, Shivajinagar (411016); Contact page says Erandwane (411004) and a plant at Plot 48, MIDC Bhosari (411026).</t>
  </si>
  <si>
    <t xml:space="preserve">Confirm the real corporate office and workshop addresses and use the same text everywhere, including Google Maps and schema.</t>
  </si>
  <si>
    <t xml:space="preserve">EE-04</t>
  </si>
  <si>
    <t xml:space="preserve">Home, Global Reach, About</t>
  </si>
  <si>
    <t xml:space="preserve">Export reach quoted as '15+', '45+' and '15–20' countries.</t>
  </si>
  <si>
    <t xml:space="preserve">Pick one verified number and use it in the top bar, stats, hero badge, logistics text and timeline.</t>
  </si>
  <si>
    <t xml:space="preserve">EE-05</t>
  </si>
  <si>
    <t xml:space="preserve">Home, About</t>
  </si>
  <si>
    <t xml:space="preserve">Years in business stated as 'since 1986', '40+ years', 'over three decades' and '30+ years'.</t>
  </si>
  <si>
    <t xml:space="preserve">Use 'Since 1986' / '40 years' consistently; update the footer boilerplate.</t>
  </si>
  <si>
    <t xml:space="preserve">EE-06</t>
  </si>
  <si>
    <t xml:space="preserve">About</t>
  </si>
  <si>
    <t xml:space="preserve">Timeline heading says '1994 to 2026' but the first milestone is 1986.</t>
  </si>
  <si>
    <t xml:space="preserve">Change the heading to '1986 to 2026'.</t>
  </si>
  <si>
    <t xml:space="preserve">EE-07</t>
  </si>
  <si>
    <t xml:space="preserve">All (footer)</t>
  </si>
  <si>
    <t xml:space="preserve">Footer 'Compatible Brands' lists 8 brands on some pages and 16 on others.</t>
  </si>
  <si>
    <t xml:space="preserve">Use one shared footer component with the same brand list on every page.</t>
  </si>
  <si>
    <t xml:space="preserve">EE-08</t>
  </si>
  <si>
    <t xml:space="preserve">Home, Contact</t>
  </si>
  <si>
    <t xml:space="preserve">Response-time promise differs: '2 hours' (home) vs '2-4 hours' (Contact).</t>
  </si>
  <si>
    <t xml:space="preserve">Use one promise the sales team can actually meet.</t>
  </si>
  <si>
    <t xml:space="preserve">EE-09</t>
  </si>
  <si>
    <t xml:space="preserve">Wording</t>
  </si>
  <si>
    <t xml:space="preserve">Home</t>
  </si>
  <si>
    <t xml:space="preserve">Typo in testimonial: 'Refrigerigeration'.</t>
  </si>
  <si>
    <t xml:space="preserve">Correct to 'Refrigeration'.</t>
  </si>
  <si>
    <t xml:space="preserve">EE-10</t>
  </si>
  <si>
    <t xml:space="preserve">All (footer, Warranty)</t>
  </si>
  <si>
    <t xml:space="preserve">Awkward phrase 'Associated with Manufacturers with ISO 9001 Certification Certified'.</t>
  </si>
  <si>
    <t xml:space="preserve">Reword, e.g. 'ISO 9001-certified manufacturing partners', and make sure it matches the certificate scope.</t>
  </si>
  <si>
    <t xml:space="preserve">EE-11</t>
  </si>
  <si>
    <t xml:space="preserve">'20 full filter containers' looks like a typo.</t>
  </si>
  <si>
    <t xml:space="preserve">Confirm intended wording (e.g. 'full container loads').</t>
  </si>
  <si>
    <t xml:space="preserve">EE-12</t>
  </si>
  <si>
    <t xml:space="preserve">Claims</t>
  </si>
  <si>
    <t xml:space="preserve">Home, Warranty</t>
  </si>
  <si>
    <t xml:space="preserve">'Direct-from-manufacturer' and 'in-house CNC manufacturing' sit alongside 'associated manufacturers'. Also 'zero defect', '100% replacement', 'up to 40% savings' and 'guaranteed' delivery to Europe/Africa.</t>
  </si>
  <si>
    <t xml:space="preserve">Align wording with what is actually made in-house; add warranty terms and conditions; soften delivery guarantees where customs can delay.</t>
  </si>
  <si>
    <t xml:space="preserve">EE-13</t>
  </si>
  <si>
    <t xml:space="preserve">SEO</t>
  </si>
  <si>
    <t xml:space="preserve">All pages</t>
  </si>
  <si>
    <t xml:space="preserve">Same &lt;title&gt; and meta description on every page checked.</t>
  </si>
  <si>
    <t xml:space="preserve">Write unique title and description for each page (e.g. 'Kirloskar KC Compressor Spares | Efforts Engineers').</t>
  </si>
  <si>
    <t xml:space="preserve">EE-14</t>
  </si>
  <si>
    <t xml:space="preserve">Products</t>
  </si>
  <si>
    <t xml:space="preserve">Catalog is JavaScript-rendered ('Loading catalog…'); crawlers may see nothing.</t>
  </si>
  <si>
    <t xml:space="preserve">Server-side render the catalog; give each category/part its own URL; check with 'View source' and Search Console URL inspection.</t>
  </si>
  <si>
    <t xml:space="preserve">EE-15</t>
  </si>
  <si>
    <t xml:space="preserve">Site-wide</t>
  </si>
  <si>
    <t xml:space="preserve">No evidence of sitemap, structured data or per-page canonical tags.</t>
  </si>
  <si>
    <t xml:space="preserve">Add sitemap.xml, robots.txt, canonical tags, Organization/LocalBusiness, Product and FAQ schema.</t>
  </si>
  <si>
    <t xml:space="preserve">EE-16</t>
  </si>
  <si>
    <t xml:space="preserve">Warranty</t>
  </si>
  <si>
    <t xml:space="preserve">FAQ answers are collapsed and were not visible in the page text.</t>
  </si>
  <si>
    <t xml:space="preserve">Make sure answer text is in the HTML (collapsed with CSS, not loaded on click only).</t>
  </si>
  <si>
    <t xml:space="preserve">EE-17</t>
  </si>
  <si>
    <t xml:space="preserve">Cutover</t>
  </si>
  <si>
    <t xml:space="preserve">dev.effortsengineers.in uses absolute URLs and must not be indexed.</t>
  </si>
  <si>
    <t xml:space="preserve">Set noindex on dev; make base URL/canonical configurable; re-check all absolute links at cutover.</t>
  </si>
  <si>
    <t xml:space="preserve">EE-18</t>
  </si>
  <si>
    <t xml:space="preserve">Content gaps</t>
  </si>
  <si>
    <t xml:space="preserve">Home, Product Sourcing</t>
  </si>
  <si>
    <t xml:space="preserve">Copeland, Ingersoll Rand, Atlas Copco and CPT have only a 'share your model' placeholder; Accel Sabroe duplicates Sabroe.</t>
  </si>
  <si>
    <t xml:space="preserve">Add real model ranges or merge into one 'Other makes' block; merge Accel Sabroe into Sabroe.</t>
  </si>
  <si>
    <t xml:space="preserve">EE-19</t>
  </si>
  <si>
    <t xml:space="preserve">Testimonials show name and role only.</t>
  </si>
  <si>
    <t xml:space="preserve">Add company name, and photo/logo with permission.</t>
  </si>
  <si>
    <t xml:space="preserve">EE-20</t>
  </si>
  <si>
    <t xml:space="preserve">Certificates are only linked from Global Reach.</t>
  </si>
  <si>
    <t xml:space="preserve">Show certificate/ISO thumbnails or a logo strip on the home page.</t>
  </si>
  <si>
    <t xml:space="preserve">EE-21</t>
  </si>
  <si>
    <t xml:space="preserve">No short 'How it works' flow.</t>
  </si>
  <si>
    <t xml:space="preserve">Add 3 steps: send part ref, quote in 2 hours, dispatch.</t>
  </si>
  <si>
    <t xml:space="preserve">EE-22</t>
  </si>
  <si>
    <t xml:space="preserve">Look &amp; feel</t>
  </si>
  <si>
    <t xml:space="preserve">All</t>
  </si>
  <si>
    <t xml:space="preserve">Visual design, spacing and imagery could not be assessed (text-only review).</t>
  </si>
  <si>
    <t xml:space="preserve">Do a visual pass: hero imagery, page-specific photos, spacing, colour contrast, consistent buttons.</t>
  </si>
  <si>
    <t xml:space="preserve">EE-23</t>
  </si>
  <si>
    <t xml:space="preserve">Functionality</t>
  </si>
  <si>
    <t xml:space="preserve">Home, Contact, Warranty</t>
  </si>
  <si>
    <t xml:space="preserve">RFQ and RMA forms not tested.</t>
  </si>
  <si>
    <t xml:space="preserve">Submit test entries: check confirmation message, email delivery to the right inbox, validation, and spam protection (honeypot/CAPTCHA).</t>
  </si>
  <si>
    <t xml:space="preserve">EE-24</t>
  </si>
  <si>
    <t xml:space="preserve">Header</t>
  </si>
  <si>
    <t xml:space="preserve">Quote Builder not tested.</t>
  </si>
  <si>
    <t xml:space="preserve">Test with a real multi-line part list; check PDF/quotation download and the email received.</t>
  </si>
  <si>
    <t xml:space="preserve">EE-25</t>
  </si>
  <si>
    <t xml:space="preserve">Header, Footer</t>
  </si>
  <si>
    <t xml:space="preserve">Portal Login and /client/dashboard (Order Tracking) not tested.</t>
  </si>
  <si>
    <t xml:space="preserve">Test register/login/logout; check what a logged-out visitor sees on /client/dashboard.</t>
  </si>
  <si>
    <t xml:space="preserve">EE-26</t>
  </si>
  <si>
    <t xml:space="preserve">Serial / invoice warranty status check not tested.</t>
  </si>
  <si>
    <t xml:space="preserve">Test with valid, invalid and empty input; check error messages.</t>
  </si>
  <si>
    <t xml:space="preserve">EE-27</t>
  </si>
  <si>
    <t xml:space="preserve">Services, Contact</t>
  </si>
  <si>
    <t xml:space="preserve">Pages mention the AI chatbot on the bottom right.</t>
  </si>
  <si>
    <t xml:space="preserve">Confirm the chatbot loads on every page and answers sensibly; add a fallback to WhatsApp.</t>
  </si>
  <si>
    <t xml:space="preserve">EE-28</t>
  </si>
  <si>
    <t xml:space="preserve">Home, Global Reach</t>
  </si>
  <si>
    <t xml:space="preserve">/brochure.pdf and certificate downloads are linked.</t>
  </si>
  <si>
    <t xml:space="preserve">Click each download; confirm files exist, are current and have sensible sizes.</t>
  </si>
  <si>
    <t xml:space="preserve">EE-29</t>
  </si>
  <si>
    <t xml:space="preserve">Mobile layout not verified.</t>
  </si>
  <si>
    <t xml:space="preserve">Test on real phones and tablets: menu, long brand dropdown in forms, tap targets, sticky WhatsApp button.</t>
  </si>
  <si>
    <t xml:space="preserve">EE-30</t>
  </si>
  <si>
    <t xml:space="preserve">Page speed and accessibility not measured.</t>
  </si>
  <si>
    <t xml:space="preserve">Run Lighthouse (mobile); fix image sizes, contrast, keyboard focus on dropdown menus, form labels and alt text.</t>
  </si>
  <si>
    <t xml:space="preserve">Item</t>
  </si>
  <si>
    <t xml:space="preserve">Values found on dev site (where)</t>
  </si>
  <si>
    <t xml:space="preserve">Confirmed value (fill in)</t>
  </si>
  <si>
    <t xml:space="preserve">Primary WhatsApp number</t>
  </si>
  <si>
    <t xml:space="preserve">+91 90960 01010 (footer, Contact hotline); +91 90960 26622 (Products/Services/Contact CTAs)</t>
  </si>
  <si>
    <t xml:space="preserve">Breakdown hotline</t>
  </si>
  <si>
    <t xml:space="preserve">+91 90960 01010 (Contact page)</t>
  </si>
  <si>
    <t xml:space="preserve">Landline(s)</t>
  </si>
  <si>
    <t xml:space="preserve">+91 20 2567 8102 (top bar, footer); +91-20-25678102 / +91-20-25678972 (Contact)</t>
  </si>
  <si>
    <t xml:space="preserve">General / sales email</t>
  </si>
  <si>
    <t xml:space="preserve">efforts.engineers@HOTMAIL.COM (most pages); milan@effortsengineers.in (Products page)</t>
  </si>
  <si>
    <t xml:space="preserve">Contact person email</t>
  </si>
  <si>
    <t xml:space="preserve">saurabh@effortsengineers.in (Contact)</t>
  </si>
  <si>
    <t xml:space="preserve">Contact person</t>
  </si>
  <si>
    <t xml:space="preserve">Mr. Saurabh S Salvi (Contact); Mr. Saurabh Salvi (testimonial)</t>
  </si>
  <si>
    <t xml:space="preserve">Corporate office address</t>
  </si>
  <si>
    <t xml:space="preserve">Shop No. 10, Shirole Park, Senapati Bapat Rd, Shivajinagar, Pune 411016 (footer) vs Erandwane, Pune 411004 (Contact)</t>
  </si>
  <si>
    <t xml:space="preserve">Workshop / plant address</t>
  </si>
  <si>
    <t xml:space="preserve">Shop No. 11, Shirole Park, Shivajinagar, Pune 411016 (footer) vs Plot 48, MIDC Bhosari, Pune 411026 (Contact)</t>
  </si>
  <si>
    <t xml:space="preserve">Year established</t>
  </si>
  <si>
    <t xml:space="preserve">1986 (home, timeline); '40+ years', 'over three decades', '30+ years' elsewhere</t>
  </si>
  <si>
    <t xml:space="preserve">Export countries</t>
  </si>
  <si>
    <t xml:space="preserve">15+ (home top bar, one stats strip); 45+ (home stats, other top bars); 15–20 (About timeline)</t>
  </si>
  <si>
    <t xml:space="preserve">Quote response time</t>
  </si>
  <si>
    <t xml:space="preserve">Within 2 hours (home); 2–4 hours (Contact)</t>
  </si>
  <si>
    <t xml:space="preserve">Operating hours</t>
  </si>
  <si>
    <t xml:space="preserve">Mon–Sat 8:30 AM – 7:30 PM IST; 24/7 breakdown dispatch for contracted plants (Contact)</t>
  </si>
  <si>
    <t xml:space="preserve">Delivery timeline claims</t>
  </si>
  <si>
    <t xml:space="preserve">24–48h India metros; 2–3 days Gulf (air); 3–5 days Europe/Africa/SE Asia (air) (home)</t>
  </si>
  <si>
    <t xml:space="preserve">Manufacturing statement</t>
  </si>
  <si>
    <t xml:space="preserve">'Direct-from-manufacturer', 'in-house CNC' vs 'Associated with manufacturers' (home, Warranty)</t>
  </si>
  <si>
    <t xml:space="preserve">ISO 9001 wording</t>
  </si>
  <si>
    <t xml:space="preserve">'Associated with Manufacturers with ISO 9001 Certification Certified' (footer, Warranty)</t>
  </si>
  <si>
    <t xml:space="preserve">Savings claim</t>
  </si>
  <si>
    <t xml:space="preserve">'Up to 40% cost savings' (home)</t>
  </si>
  <si>
    <t xml:space="preserve">Legend: yellow cells are for you to fill. Once confirmed, use these values in one shared config/footer so every page matches.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</si>
</sst>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ont>
        <name val="Arial"/>
        <charset val="1"/>
        <family val="0"/>
        <color rgb="FF7F7F7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COUNTIF(Checklist!$F$2:$F$31,A5)</f>
        <v>9</v>
      </c>
      <c r="C5" s="5" t="n">
        <f aca="false">COUNTIFS(Checklist!$F$2:$F$31,$A5,Checklist!$H$2:$H$31,"Open")</f>
        <v>9</v>
      </c>
      <c r="D5" s="5" t="n">
        <f aca="false">COUNTIFS(Checklist!$F$2:$F$31,$A5,Checklist!$H$2:$H$31,"In progress")</f>
        <v>0</v>
      </c>
      <c r="E5" s="5" t="n">
        <f aca="false">COUNTIFS(Checklist!$F$2:$F$31,$A5,Checklist!$H$2:$H$31,"Done")</f>
        <v>0</v>
      </c>
    </row>
    <row r="6" customFormat="false" ht="15" hidden="false" customHeight="false" outlineLevel="0" collapsed="false">
      <c r="A6" s="4" t="s">
        <v>8</v>
      </c>
      <c r="B6" s="5" t="n">
        <f aca="false">COUNTIF(Checklist!$F$2:$F$31,A6)</f>
        <v>16</v>
      </c>
      <c r="C6" s="5" t="n">
        <f aca="false">COUNTIFS(Checklist!$F$2:$F$31,$A6,Checklist!$H$2:$H$31,"Open")</f>
        <v>16</v>
      </c>
      <c r="D6" s="5" t="n">
        <f aca="false">COUNTIFS(Checklist!$F$2:$F$31,$A6,Checklist!$H$2:$H$31,"In progress")</f>
        <v>0</v>
      </c>
      <c r="E6" s="5" t="n">
        <f aca="false">COUNTIFS(Checklist!$F$2:$F$31,$A6,Checklist!$H$2:$H$31,"Done")</f>
        <v>0</v>
      </c>
    </row>
    <row r="7" customFormat="false" ht="15" hidden="false" customHeight="false" outlineLevel="0" collapsed="false">
      <c r="A7" s="4" t="s">
        <v>9</v>
      </c>
      <c r="B7" s="5" t="n">
        <f aca="false">COUNTIF(Checklist!$F$2:$F$31,A7)</f>
        <v>5</v>
      </c>
      <c r="C7" s="5" t="n">
        <f aca="false">COUNTIFS(Checklist!$F$2:$F$31,$A7,Checklist!$H$2:$H$31,"Open")</f>
        <v>5</v>
      </c>
      <c r="D7" s="5" t="n">
        <f aca="false">COUNTIFS(Checklist!$F$2:$F$31,$A7,Checklist!$H$2:$H$31,"In progress")</f>
        <v>0</v>
      </c>
      <c r="E7" s="5" t="n">
        <f aca="false">COUNTIFS(Checklist!$F$2:$F$31,$A7,Checklist!$H$2:$H$31,"Done")</f>
        <v>0</v>
      </c>
    </row>
    <row r="8" customFormat="false" ht="15" hidden="false" customHeight="false" outlineLevel="0" collapsed="false">
      <c r="A8" s="4" t="s">
        <v>3</v>
      </c>
      <c r="B8" s="4" t="n">
        <f aca="false">SUM(B5:B7)</f>
        <v>30</v>
      </c>
      <c r="C8" s="4" t="n">
        <f aca="false">SUM(C5:C7)</f>
        <v>30</v>
      </c>
      <c r="D8" s="4" t="n">
        <f aca="false">SUM(D5:D7)</f>
        <v>0</v>
      </c>
      <c r="E8" s="4" t="n">
        <f aca="false">SUM(E5:E7)</f>
        <v>0</v>
      </c>
    </row>
    <row r="10" customFormat="false" ht="15" hidden="false" customHeight="false" outlineLevel="0" collapsed="false">
      <c r="A10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5" min="4" style="0" width="5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28"/>
  </cols>
  <sheetData>
    <row r="1" customFormat="false" ht="15" hidden="false" customHeight="fals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2</v>
      </c>
      <c r="G1" s="6" t="s">
        <v>16</v>
      </c>
      <c r="H1" s="6" t="s">
        <v>17</v>
      </c>
      <c r="I1" s="6" t="s">
        <v>18</v>
      </c>
    </row>
    <row r="2" customFormat="false" ht="35.05" hidden="false" customHeight="false" outlineLevel="0" collapsed="false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7</v>
      </c>
      <c r="G2" s="7"/>
      <c r="H2" s="7" t="s">
        <v>4</v>
      </c>
      <c r="I2" s="7"/>
    </row>
    <row r="3" customFormat="false" ht="35.05" hidden="false" customHeight="false" outlineLevel="0" collapsed="false">
      <c r="A3" s="7" t="s">
        <v>24</v>
      </c>
      <c r="B3" s="7" t="s">
        <v>20</v>
      </c>
      <c r="C3" s="7" t="s">
        <v>25</v>
      </c>
      <c r="D3" s="7" t="s">
        <v>26</v>
      </c>
      <c r="E3" s="7" t="s">
        <v>27</v>
      </c>
      <c r="F3" s="7" t="s">
        <v>7</v>
      </c>
      <c r="G3" s="7"/>
      <c r="H3" s="7" t="s">
        <v>4</v>
      </c>
      <c r="I3" s="7"/>
    </row>
    <row r="4" customFormat="false" ht="35.05" hidden="false" customHeight="false" outlineLevel="0" collapsed="false">
      <c r="A4" s="7" t="s">
        <v>28</v>
      </c>
      <c r="B4" s="7" t="s">
        <v>20</v>
      </c>
      <c r="C4" s="7" t="s">
        <v>29</v>
      </c>
      <c r="D4" s="7" t="s">
        <v>30</v>
      </c>
      <c r="E4" s="7" t="s">
        <v>31</v>
      </c>
      <c r="F4" s="7" t="s">
        <v>7</v>
      </c>
      <c r="G4" s="7"/>
      <c r="H4" s="7" t="s">
        <v>4</v>
      </c>
      <c r="I4" s="7"/>
    </row>
    <row r="5" customFormat="false" ht="23.85" hidden="false" customHeight="false" outlineLevel="0" collapsed="false">
      <c r="A5" s="7" t="s">
        <v>32</v>
      </c>
      <c r="B5" s="7" t="s">
        <v>20</v>
      </c>
      <c r="C5" s="7" t="s">
        <v>33</v>
      </c>
      <c r="D5" s="7" t="s">
        <v>34</v>
      </c>
      <c r="E5" s="7" t="s">
        <v>35</v>
      </c>
      <c r="F5" s="7" t="s">
        <v>7</v>
      </c>
      <c r="G5" s="7"/>
      <c r="H5" s="7" t="s">
        <v>4</v>
      </c>
      <c r="I5" s="7"/>
    </row>
    <row r="6" customFormat="false" ht="23.85" hidden="false" customHeight="false" outlineLevel="0" collapsed="false">
      <c r="A6" s="7" t="s">
        <v>36</v>
      </c>
      <c r="B6" s="7" t="s">
        <v>20</v>
      </c>
      <c r="C6" s="7" t="s">
        <v>37</v>
      </c>
      <c r="D6" s="7" t="s">
        <v>38</v>
      </c>
      <c r="E6" s="7" t="s">
        <v>39</v>
      </c>
      <c r="F6" s="7" t="s">
        <v>8</v>
      </c>
      <c r="G6" s="7"/>
      <c r="H6" s="7" t="s">
        <v>4</v>
      </c>
      <c r="I6" s="7"/>
    </row>
    <row r="7" customFormat="false" ht="15" hidden="false" customHeight="false" outlineLevel="0" collapsed="false">
      <c r="A7" s="7" t="s">
        <v>40</v>
      </c>
      <c r="B7" s="7" t="s">
        <v>20</v>
      </c>
      <c r="C7" s="7" t="s">
        <v>41</v>
      </c>
      <c r="D7" s="7" t="s">
        <v>42</v>
      </c>
      <c r="E7" s="7" t="s">
        <v>43</v>
      </c>
      <c r="F7" s="7" t="s">
        <v>8</v>
      </c>
      <c r="G7" s="7"/>
      <c r="H7" s="7" t="s">
        <v>4</v>
      </c>
      <c r="I7" s="7"/>
    </row>
    <row r="8" customFormat="false" ht="23.85" hidden="false" customHeight="false" outlineLevel="0" collapsed="false">
      <c r="A8" s="7" t="s">
        <v>44</v>
      </c>
      <c r="B8" s="7" t="s">
        <v>20</v>
      </c>
      <c r="C8" s="7" t="s">
        <v>45</v>
      </c>
      <c r="D8" s="7" t="s">
        <v>46</v>
      </c>
      <c r="E8" s="7" t="s">
        <v>47</v>
      </c>
      <c r="F8" s="7" t="s">
        <v>9</v>
      </c>
      <c r="G8" s="7"/>
      <c r="H8" s="7" t="s">
        <v>4</v>
      </c>
      <c r="I8" s="7"/>
    </row>
    <row r="9" customFormat="false" ht="23.85" hidden="false" customHeight="false" outlineLevel="0" collapsed="false">
      <c r="A9" s="7" t="s">
        <v>48</v>
      </c>
      <c r="B9" s="7" t="s">
        <v>20</v>
      </c>
      <c r="C9" s="7" t="s">
        <v>49</v>
      </c>
      <c r="D9" s="7" t="s">
        <v>50</v>
      </c>
      <c r="E9" s="7" t="s">
        <v>51</v>
      </c>
      <c r="F9" s="7" t="s">
        <v>8</v>
      </c>
      <c r="G9" s="7"/>
      <c r="H9" s="7" t="s">
        <v>4</v>
      </c>
      <c r="I9" s="7"/>
    </row>
    <row r="10" customFormat="false" ht="15" hidden="false" customHeight="false" outlineLevel="0" collapsed="false">
      <c r="A10" s="7" t="s">
        <v>52</v>
      </c>
      <c r="B10" s="7" t="s">
        <v>53</v>
      </c>
      <c r="C10" s="7" t="s">
        <v>54</v>
      </c>
      <c r="D10" s="7" t="s">
        <v>55</v>
      </c>
      <c r="E10" s="7" t="s">
        <v>56</v>
      </c>
      <c r="F10" s="7" t="s">
        <v>9</v>
      </c>
      <c r="G10" s="7"/>
      <c r="H10" s="7" t="s">
        <v>4</v>
      </c>
      <c r="I10" s="7"/>
    </row>
    <row r="11" customFormat="false" ht="23.85" hidden="false" customHeight="false" outlineLevel="0" collapsed="false">
      <c r="A11" s="7" t="s">
        <v>57</v>
      </c>
      <c r="B11" s="7" t="s">
        <v>53</v>
      </c>
      <c r="C11" s="7" t="s">
        <v>58</v>
      </c>
      <c r="D11" s="7" t="s">
        <v>59</v>
      </c>
      <c r="E11" s="7" t="s">
        <v>60</v>
      </c>
      <c r="F11" s="7" t="s">
        <v>8</v>
      </c>
      <c r="G11" s="7"/>
      <c r="H11" s="7" t="s">
        <v>4</v>
      </c>
      <c r="I11" s="7"/>
    </row>
    <row r="12" customFormat="false" ht="15" hidden="false" customHeight="false" outlineLevel="0" collapsed="false">
      <c r="A12" s="7" t="s">
        <v>61</v>
      </c>
      <c r="B12" s="7" t="s">
        <v>53</v>
      </c>
      <c r="C12" s="7" t="s">
        <v>41</v>
      </c>
      <c r="D12" s="7" t="s">
        <v>62</v>
      </c>
      <c r="E12" s="7" t="s">
        <v>63</v>
      </c>
      <c r="F12" s="7" t="s">
        <v>9</v>
      </c>
      <c r="G12" s="7"/>
      <c r="H12" s="7" t="s">
        <v>4</v>
      </c>
      <c r="I12" s="7"/>
    </row>
    <row r="13" customFormat="false" ht="46.25" hidden="false" customHeight="false" outlineLevel="0" collapsed="false">
      <c r="A13" s="7" t="s">
        <v>64</v>
      </c>
      <c r="B13" s="7" t="s">
        <v>65</v>
      </c>
      <c r="C13" s="7" t="s">
        <v>66</v>
      </c>
      <c r="D13" s="7" t="s">
        <v>67</v>
      </c>
      <c r="E13" s="7" t="s">
        <v>68</v>
      </c>
      <c r="F13" s="7" t="s">
        <v>8</v>
      </c>
      <c r="G13" s="7"/>
      <c r="H13" s="7" t="s">
        <v>4</v>
      </c>
      <c r="I13" s="7"/>
    </row>
    <row r="14" customFormat="false" ht="23.85" hidden="false" customHeight="false" outlineLevel="0" collapsed="false">
      <c r="A14" s="7" t="s">
        <v>69</v>
      </c>
      <c r="B14" s="7" t="s">
        <v>70</v>
      </c>
      <c r="C14" s="7" t="s">
        <v>71</v>
      </c>
      <c r="D14" s="7" t="s">
        <v>72</v>
      </c>
      <c r="E14" s="7" t="s">
        <v>73</v>
      </c>
      <c r="F14" s="7" t="s">
        <v>7</v>
      </c>
      <c r="G14" s="7"/>
      <c r="H14" s="7" t="s">
        <v>4</v>
      </c>
      <c r="I14" s="7"/>
    </row>
    <row r="15" customFormat="false" ht="23.85" hidden="false" customHeight="false" outlineLevel="0" collapsed="false">
      <c r="A15" s="7" t="s">
        <v>74</v>
      </c>
      <c r="B15" s="7" t="s">
        <v>70</v>
      </c>
      <c r="C15" s="7" t="s">
        <v>75</v>
      </c>
      <c r="D15" s="7" t="s">
        <v>76</v>
      </c>
      <c r="E15" s="7" t="s">
        <v>77</v>
      </c>
      <c r="F15" s="7" t="s">
        <v>7</v>
      </c>
      <c r="G15" s="7"/>
      <c r="H15" s="7" t="s">
        <v>4</v>
      </c>
      <c r="I15" s="7"/>
    </row>
    <row r="16" customFormat="false" ht="23.85" hidden="false" customHeight="false" outlineLevel="0" collapsed="false">
      <c r="A16" s="7" t="s">
        <v>78</v>
      </c>
      <c r="B16" s="7" t="s">
        <v>70</v>
      </c>
      <c r="C16" s="7" t="s">
        <v>79</v>
      </c>
      <c r="D16" s="7" t="s">
        <v>80</v>
      </c>
      <c r="E16" s="7" t="s">
        <v>81</v>
      </c>
      <c r="F16" s="7" t="s">
        <v>8</v>
      </c>
      <c r="G16" s="7"/>
      <c r="H16" s="7" t="s">
        <v>4</v>
      </c>
      <c r="I16" s="7"/>
    </row>
    <row r="17" customFormat="false" ht="23.85" hidden="false" customHeight="false" outlineLevel="0" collapsed="false">
      <c r="A17" s="7" t="s">
        <v>82</v>
      </c>
      <c r="B17" s="7" t="s">
        <v>70</v>
      </c>
      <c r="C17" s="7" t="s">
        <v>83</v>
      </c>
      <c r="D17" s="7" t="s">
        <v>84</v>
      </c>
      <c r="E17" s="7" t="s">
        <v>85</v>
      </c>
      <c r="F17" s="7" t="s">
        <v>8</v>
      </c>
      <c r="G17" s="7"/>
      <c r="H17" s="7" t="s">
        <v>4</v>
      </c>
      <c r="I17" s="7"/>
    </row>
    <row r="18" customFormat="false" ht="23.85" hidden="false" customHeight="false" outlineLevel="0" collapsed="false">
      <c r="A18" s="7" t="s">
        <v>86</v>
      </c>
      <c r="B18" s="7" t="s">
        <v>70</v>
      </c>
      <c r="C18" s="7" t="s">
        <v>87</v>
      </c>
      <c r="D18" s="7" t="s">
        <v>88</v>
      </c>
      <c r="E18" s="7" t="s">
        <v>89</v>
      </c>
      <c r="F18" s="7" t="s">
        <v>7</v>
      </c>
      <c r="G18" s="7"/>
      <c r="H18" s="7" t="s">
        <v>4</v>
      </c>
      <c r="I18" s="7"/>
    </row>
    <row r="19" customFormat="false" ht="23.85" hidden="false" customHeight="false" outlineLevel="0" collapsed="false">
      <c r="A19" s="7" t="s">
        <v>90</v>
      </c>
      <c r="B19" s="7" t="s">
        <v>91</v>
      </c>
      <c r="C19" s="7" t="s">
        <v>92</v>
      </c>
      <c r="D19" s="7" t="s">
        <v>93</v>
      </c>
      <c r="E19" s="7" t="s">
        <v>94</v>
      </c>
      <c r="F19" s="7" t="s">
        <v>8</v>
      </c>
      <c r="G19" s="7"/>
      <c r="H19" s="7" t="s">
        <v>4</v>
      </c>
      <c r="I19" s="7"/>
    </row>
    <row r="20" customFormat="false" ht="15" hidden="false" customHeight="false" outlineLevel="0" collapsed="false">
      <c r="A20" s="7" t="s">
        <v>95</v>
      </c>
      <c r="B20" s="7" t="s">
        <v>91</v>
      </c>
      <c r="C20" s="7" t="s">
        <v>54</v>
      </c>
      <c r="D20" s="7" t="s">
        <v>96</v>
      </c>
      <c r="E20" s="7" t="s">
        <v>97</v>
      </c>
      <c r="F20" s="7" t="s">
        <v>9</v>
      </c>
      <c r="G20" s="7"/>
      <c r="H20" s="7" t="s">
        <v>4</v>
      </c>
      <c r="I20" s="7"/>
    </row>
    <row r="21" customFormat="false" ht="15" hidden="false" customHeight="false" outlineLevel="0" collapsed="false">
      <c r="A21" s="7" t="s">
        <v>98</v>
      </c>
      <c r="B21" s="7" t="s">
        <v>91</v>
      </c>
      <c r="C21" s="7" t="s">
        <v>54</v>
      </c>
      <c r="D21" s="7" t="s">
        <v>99</v>
      </c>
      <c r="E21" s="7" t="s">
        <v>100</v>
      </c>
      <c r="F21" s="7" t="s">
        <v>8</v>
      </c>
      <c r="G21" s="7"/>
      <c r="H21" s="7" t="s">
        <v>4</v>
      </c>
      <c r="I21" s="7"/>
    </row>
    <row r="22" customFormat="false" ht="15" hidden="false" customHeight="false" outlineLevel="0" collapsed="false">
      <c r="A22" s="7" t="s">
        <v>101</v>
      </c>
      <c r="B22" s="7" t="s">
        <v>91</v>
      </c>
      <c r="C22" s="7" t="s">
        <v>54</v>
      </c>
      <c r="D22" s="7" t="s">
        <v>102</v>
      </c>
      <c r="E22" s="7" t="s">
        <v>103</v>
      </c>
      <c r="F22" s="7" t="s">
        <v>9</v>
      </c>
      <c r="G22" s="7"/>
      <c r="H22" s="7" t="s">
        <v>4</v>
      </c>
      <c r="I22" s="7"/>
    </row>
    <row r="23" customFormat="false" ht="23.85" hidden="false" customHeight="false" outlineLevel="0" collapsed="false">
      <c r="A23" s="7" t="s">
        <v>104</v>
      </c>
      <c r="B23" s="7" t="s">
        <v>105</v>
      </c>
      <c r="C23" s="7" t="s">
        <v>106</v>
      </c>
      <c r="D23" s="7" t="s">
        <v>107</v>
      </c>
      <c r="E23" s="7" t="s">
        <v>108</v>
      </c>
      <c r="F23" s="7" t="s">
        <v>8</v>
      </c>
      <c r="G23" s="7"/>
      <c r="H23" s="7" t="s">
        <v>4</v>
      </c>
      <c r="I23" s="7"/>
    </row>
    <row r="24" customFormat="false" ht="35.05" hidden="false" customHeight="false" outlineLevel="0" collapsed="false">
      <c r="A24" s="7" t="s">
        <v>109</v>
      </c>
      <c r="B24" s="7" t="s">
        <v>110</v>
      </c>
      <c r="C24" s="7" t="s">
        <v>111</v>
      </c>
      <c r="D24" s="7" t="s">
        <v>112</v>
      </c>
      <c r="E24" s="7" t="s">
        <v>113</v>
      </c>
      <c r="F24" s="7" t="s">
        <v>7</v>
      </c>
      <c r="G24" s="7"/>
      <c r="H24" s="7" t="s">
        <v>4</v>
      </c>
      <c r="I24" s="7"/>
    </row>
    <row r="25" customFormat="false" ht="23.85" hidden="false" customHeight="false" outlineLevel="0" collapsed="false">
      <c r="A25" s="7" t="s">
        <v>114</v>
      </c>
      <c r="B25" s="7" t="s">
        <v>110</v>
      </c>
      <c r="C25" s="7" t="s">
        <v>115</v>
      </c>
      <c r="D25" s="7" t="s">
        <v>116</v>
      </c>
      <c r="E25" s="7" t="s">
        <v>117</v>
      </c>
      <c r="F25" s="7" t="s">
        <v>8</v>
      </c>
      <c r="G25" s="7"/>
      <c r="H25" s="7" t="s">
        <v>4</v>
      </c>
      <c r="I25" s="7"/>
    </row>
    <row r="26" customFormat="false" ht="23.85" hidden="false" customHeight="false" outlineLevel="0" collapsed="false">
      <c r="A26" s="7" t="s">
        <v>118</v>
      </c>
      <c r="B26" s="7" t="s">
        <v>110</v>
      </c>
      <c r="C26" s="7" t="s">
        <v>119</v>
      </c>
      <c r="D26" s="7" t="s">
        <v>120</v>
      </c>
      <c r="E26" s="7" t="s">
        <v>121</v>
      </c>
      <c r="F26" s="7" t="s">
        <v>8</v>
      </c>
      <c r="G26" s="7"/>
      <c r="H26" s="7" t="s">
        <v>4</v>
      </c>
      <c r="I26" s="7"/>
    </row>
    <row r="27" customFormat="false" ht="15" hidden="false" customHeight="false" outlineLevel="0" collapsed="false">
      <c r="A27" s="7" t="s">
        <v>122</v>
      </c>
      <c r="B27" s="7" t="s">
        <v>110</v>
      </c>
      <c r="C27" s="7" t="s">
        <v>83</v>
      </c>
      <c r="D27" s="7" t="s">
        <v>123</v>
      </c>
      <c r="E27" s="7" t="s">
        <v>124</v>
      </c>
      <c r="F27" s="7" t="s">
        <v>8</v>
      </c>
      <c r="G27" s="7"/>
      <c r="H27" s="7" t="s">
        <v>4</v>
      </c>
      <c r="I27" s="7"/>
    </row>
    <row r="28" customFormat="false" ht="23.85" hidden="false" customHeight="false" outlineLevel="0" collapsed="false">
      <c r="A28" s="7" t="s">
        <v>125</v>
      </c>
      <c r="B28" s="7" t="s">
        <v>110</v>
      </c>
      <c r="C28" s="7" t="s">
        <v>126</v>
      </c>
      <c r="D28" s="7" t="s">
        <v>127</v>
      </c>
      <c r="E28" s="7" t="s">
        <v>128</v>
      </c>
      <c r="F28" s="7" t="s">
        <v>8</v>
      </c>
      <c r="G28" s="7"/>
      <c r="H28" s="7" t="s">
        <v>4</v>
      </c>
      <c r="I28" s="7"/>
    </row>
    <row r="29" customFormat="false" ht="23.85" hidden="false" customHeight="false" outlineLevel="0" collapsed="false">
      <c r="A29" s="7" t="s">
        <v>129</v>
      </c>
      <c r="B29" s="7" t="s">
        <v>110</v>
      </c>
      <c r="C29" s="7" t="s">
        <v>130</v>
      </c>
      <c r="D29" s="7" t="s">
        <v>131</v>
      </c>
      <c r="E29" s="7" t="s">
        <v>132</v>
      </c>
      <c r="F29" s="7" t="s">
        <v>8</v>
      </c>
      <c r="G29" s="7"/>
      <c r="H29" s="7" t="s">
        <v>4</v>
      </c>
      <c r="I29" s="7"/>
    </row>
    <row r="30" customFormat="false" ht="23.85" hidden="false" customHeight="false" outlineLevel="0" collapsed="false">
      <c r="A30" s="7" t="s">
        <v>133</v>
      </c>
      <c r="B30" s="7" t="s">
        <v>110</v>
      </c>
      <c r="C30" s="7" t="s">
        <v>106</v>
      </c>
      <c r="D30" s="7" t="s">
        <v>134</v>
      </c>
      <c r="E30" s="7" t="s">
        <v>135</v>
      </c>
      <c r="F30" s="7" t="s">
        <v>7</v>
      </c>
      <c r="G30" s="7"/>
      <c r="H30" s="7" t="s">
        <v>4</v>
      </c>
      <c r="I30" s="7"/>
    </row>
    <row r="31" customFormat="false" ht="23.85" hidden="false" customHeight="false" outlineLevel="0" collapsed="false">
      <c r="A31" s="7" t="s">
        <v>136</v>
      </c>
      <c r="B31" s="7" t="s">
        <v>110</v>
      </c>
      <c r="C31" s="7" t="s">
        <v>106</v>
      </c>
      <c r="D31" s="7" t="s">
        <v>137</v>
      </c>
      <c r="E31" s="7" t="s">
        <v>138</v>
      </c>
      <c r="F31" s="7" t="s">
        <v>8</v>
      </c>
      <c r="G31" s="7"/>
      <c r="H31" s="7" t="s">
        <v>4</v>
      </c>
      <c r="I31" s="7"/>
    </row>
  </sheetData>
  <autoFilter ref="A1:I31"/>
  <conditionalFormatting sqref="F2:F31">
    <cfRule type="expression" priority="2" aboveAverage="0" equalAverage="0" bottom="0" percent="0" rank="0" text="" dxfId="6">
      <formula>$F2="High"</formula>
    </cfRule>
    <cfRule type="expression" priority="3" aboveAverage="0" equalAverage="0" bottom="0" percent="0" rank="0" text="" dxfId="7">
      <formula>$F2="Medium"</formula>
    </cfRule>
    <cfRule type="expression" priority="4" aboveAverage="0" equalAverage="0" bottom="0" percent="0" rank="0" text="" dxfId="8">
      <formula>$F2="Low"</formula>
    </cfRule>
  </conditionalFormatting>
  <conditionalFormatting sqref="A2:I31">
    <cfRule type="expression" priority="5" aboveAverage="0" equalAverage="0" bottom="0" percent="0" rank="0" text="" dxfId="9">
      <formula>$H2="Done"</formula>
    </cfRule>
  </conditionalFormatting>
  <dataValidations count="2">
    <dataValidation allowBlank="false" errorStyle="stop" operator="between" showDropDown="false" showErrorMessage="false" showInputMessage="false" sqref="F2:F31" type="list">
      <formula1>"High,Medium,Low"</formula1>
      <formula2>0</formula2>
    </dataValidation>
    <dataValidation allowBlank="false" errorStyle="stop" operator="between" showDropDown="false" showErrorMessage="false" showInputMessage="false" sqref="H2:H31" type="list">
      <formula1>"Open,In progress,Done,Won't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3" min="3" style="0" width="4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6" t="s">
        <v>139</v>
      </c>
      <c r="B1" s="6" t="s">
        <v>140</v>
      </c>
      <c r="C1" s="6" t="s">
        <v>141</v>
      </c>
      <c r="D1" s="6" t="s">
        <v>18</v>
      </c>
    </row>
    <row r="2" customFormat="false" ht="23.85" hidden="false" customHeight="false" outlineLevel="0" collapsed="false">
      <c r="A2" s="8" t="s">
        <v>142</v>
      </c>
      <c r="B2" s="7" t="s">
        <v>143</v>
      </c>
      <c r="C2" s="9"/>
      <c r="D2" s="7"/>
    </row>
    <row r="3" customFormat="false" ht="15" hidden="false" customHeight="false" outlineLevel="0" collapsed="false">
      <c r="A3" s="8" t="s">
        <v>144</v>
      </c>
      <c r="B3" s="7" t="s">
        <v>145</v>
      </c>
      <c r="C3" s="9"/>
      <c r="D3" s="7"/>
    </row>
    <row r="4" customFormat="false" ht="15" hidden="false" customHeight="false" outlineLevel="0" collapsed="false">
      <c r="A4" s="8" t="s">
        <v>146</v>
      </c>
      <c r="B4" s="7" t="s">
        <v>147</v>
      </c>
      <c r="C4" s="9"/>
      <c r="D4" s="7"/>
    </row>
    <row r="5" customFormat="false" ht="23.85" hidden="false" customHeight="false" outlineLevel="0" collapsed="false">
      <c r="A5" s="8" t="s">
        <v>148</v>
      </c>
      <c r="B5" s="7" t="s">
        <v>149</v>
      </c>
      <c r="C5" s="9"/>
      <c r="D5" s="7"/>
    </row>
    <row r="6" customFormat="false" ht="15" hidden="false" customHeight="false" outlineLevel="0" collapsed="false">
      <c r="A6" s="8" t="s">
        <v>150</v>
      </c>
      <c r="B6" s="7" t="s">
        <v>151</v>
      </c>
      <c r="C6" s="9"/>
      <c r="D6" s="7"/>
    </row>
    <row r="7" customFormat="false" ht="15" hidden="false" customHeight="false" outlineLevel="0" collapsed="false">
      <c r="A7" s="8" t="s">
        <v>152</v>
      </c>
      <c r="B7" s="7" t="s">
        <v>153</v>
      </c>
      <c r="C7" s="9"/>
      <c r="D7" s="7"/>
    </row>
    <row r="8" customFormat="false" ht="23.85" hidden="false" customHeight="false" outlineLevel="0" collapsed="false">
      <c r="A8" s="8" t="s">
        <v>154</v>
      </c>
      <c r="B8" s="7" t="s">
        <v>155</v>
      </c>
      <c r="C8" s="9"/>
      <c r="D8" s="7"/>
    </row>
    <row r="9" customFormat="false" ht="23.85" hidden="false" customHeight="false" outlineLevel="0" collapsed="false">
      <c r="A9" s="8" t="s">
        <v>156</v>
      </c>
      <c r="B9" s="7" t="s">
        <v>157</v>
      </c>
      <c r="C9" s="9"/>
      <c r="D9" s="7"/>
    </row>
    <row r="10" customFormat="false" ht="15" hidden="false" customHeight="false" outlineLevel="0" collapsed="false">
      <c r="A10" s="8" t="s">
        <v>158</v>
      </c>
      <c r="B10" s="7" t="s">
        <v>159</v>
      </c>
      <c r="C10" s="9"/>
      <c r="D10" s="7"/>
    </row>
    <row r="11" customFormat="false" ht="23.85" hidden="false" customHeight="false" outlineLevel="0" collapsed="false">
      <c r="A11" s="8" t="s">
        <v>160</v>
      </c>
      <c r="B11" s="7" t="s">
        <v>161</v>
      </c>
      <c r="C11" s="9"/>
      <c r="D11" s="7"/>
    </row>
    <row r="12" customFormat="false" ht="15" hidden="false" customHeight="false" outlineLevel="0" collapsed="false">
      <c r="A12" s="8" t="s">
        <v>162</v>
      </c>
      <c r="B12" s="7" t="s">
        <v>163</v>
      </c>
      <c r="C12" s="9"/>
      <c r="D12" s="7"/>
    </row>
    <row r="13" customFormat="false" ht="23.85" hidden="false" customHeight="false" outlineLevel="0" collapsed="false">
      <c r="A13" s="8" t="s">
        <v>164</v>
      </c>
      <c r="B13" s="7" t="s">
        <v>165</v>
      </c>
      <c r="C13" s="9"/>
      <c r="D13" s="7"/>
    </row>
    <row r="14" customFormat="false" ht="15" hidden="false" customHeight="false" outlineLevel="0" collapsed="false">
      <c r="A14" s="8" t="s">
        <v>166</v>
      </c>
      <c r="B14" s="7" t="s">
        <v>167</v>
      </c>
      <c r="C14" s="9"/>
      <c r="D14" s="7"/>
    </row>
    <row r="15" customFormat="false" ht="23.85" hidden="false" customHeight="false" outlineLevel="0" collapsed="false">
      <c r="A15" s="8" t="s">
        <v>168</v>
      </c>
      <c r="B15" s="7" t="s">
        <v>169</v>
      </c>
      <c r="C15" s="9"/>
      <c r="D15" s="7"/>
    </row>
    <row r="16" customFormat="false" ht="15" hidden="false" customHeight="false" outlineLevel="0" collapsed="false">
      <c r="A16" s="8" t="s">
        <v>170</v>
      </c>
      <c r="B16" s="7" t="s">
        <v>171</v>
      </c>
      <c r="C16" s="9"/>
      <c r="D16" s="7"/>
    </row>
    <row r="17" customFormat="false" ht="15" hidden="false" customHeight="false" outlineLevel="0" collapsed="false">
      <c r="A17" s="8" t="s">
        <v>172</v>
      </c>
      <c r="B17" s="7" t="s">
        <v>173</v>
      </c>
      <c r="C17" s="9"/>
      <c r="D17" s="7"/>
    </row>
    <row r="19" customFormat="false" ht="15" hidden="false" customHeight="false" outlineLevel="0" collapsed="false">
      <c r="A19" s="2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2026-10-30T05:19:23Z</dcterms:created>
  <dc:creator>openpyxl</dc:creator>
  <dc:description/>
  <dc:language>en-US</dc:language>
  <cp:lastModifiedBy/>
  <dcterms:modified xsi:type="dcterms:W3CDTF">2026-10-30T05:19:23Z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